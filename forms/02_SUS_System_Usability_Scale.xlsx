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S_Responses" sheetId="2" state="visible" r:id="rId2"/>
    <sheet xmlns:r="http://schemas.openxmlformats.org/officeDocument/2006/relationships" name="Item_Wording" sheetId="3" state="visible" r:id="rId3"/>
    <sheet xmlns:r="http://schemas.openxmlformats.org/officeDocument/2006/relationships" name="Paper_For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color rgb="001F4E79"/>
      <sz val="12"/>
    </font>
    <font>
      <b val="1"/>
      <color rgb="00FFFFFF"/>
      <sz val="11"/>
    </font>
    <font>
      <b val="1"/>
    </font>
    <font>
      <b val="1"/>
      <color rgb="001F4E79"/>
      <sz val="14"/>
    </font>
    <font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System Usability Scale (SUS)</t>
        </is>
      </c>
    </row>
    <row r="2">
      <c r="B2" s="2" t="inlineStr"/>
    </row>
    <row r="3">
      <c r="B3" s="3" t="inlineStr">
        <is>
          <t>Administration</t>
        </is>
      </c>
    </row>
    <row r="4">
      <c r="B4" s="2" t="inlineStr">
        <is>
          <t>Give the 10 items immediately after the participant finishes the task/condition, before any debrief discussion.</t>
        </is>
      </c>
    </row>
    <row r="5">
      <c r="B5" s="2" t="inlineStr">
        <is>
          <t>Each item is rated on a 5-point Likert scale: 1 = Strongly disagree ... 5 = Strongly agree.</t>
        </is>
      </c>
    </row>
    <row r="6">
      <c r="B6" s="2" t="inlineStr">
        <is>
          <t>Ask the participant to respond to every item. If they truly cannot decide, they should mark the centre point (3).</t>
        </is>
      </c>
    </row>
    <row r="7">
      <c r="B7" s="2" t="inlineStr">
        <is>
          <t>Do not explain the items; if asked, repeat the wording verbatim.</t>
        </is>
      </c>
    </row>
    <row r="8">
      <c r="B8" s="2" t="inlineStr"/>
    </row>
    <row r="9">
      <c r="B9" s="3" t="inlineStr">
        <is>
          <t>Scoring (already implemented in the SUS_Responses sheet)</t>
        </is>
      </c>
    </row>
    <row r="10">
      <c r="B10" s="2" t="inlineStr">
        <is>
          <t>Odd-numbered items (positively worded): contribution = response - 1.</t>
        </is>
      </c>
    </row>
    <row r="11">
      <c r="B11" s="2" t="inlineStr">
        <is>
          <t>Even-numbered items (negatively worded): contribution = 5 - response.</t>
        </is>
      </c>
    </row>
    <row r="12">
      <c r="B12" s="2" t="inlineStr">
        <is>
          <t>SUS score = (sum of the 10 contributions) x 2.5, giving 0-100.</t>
        </is>
      </c>
    </row>
    <row r="13">
      <c r="B13" s="2" t="inlineStr">
        <is>
          <t>The SUS score is NOT a percentage. Interpret it against normative benchmarks.</t>
        </is>
      </c>
    </row>
    <row r="14">
      <c r="B14" s="2" t="inlineStr"/>
    </row>
    <row r="15">
      <c r="B15" s="3" t="inlineStr">
        <is>
          <t>Interpretation benchmarks</t>
        </is>
      </c>
    </row>
    <row r="16">
      <c r="B16" s="2" t="inlineStr">
        <is>
          <t>Mean SUS across ~500 studies is about 68; this is the conventional 'average' anchor (Sauro, 2011).</t>
        </is>
      </c>
    </row>
    <row r="17">
      <c r="B17" s="2" t="inlineStr">
        <is>
          <t>Adjective ratings (Bangor et al., 2009): &lt;25 Worst imaginable | 25-39 Poor | 39-52 OK | 52-73 Good | 73-85 Excellent | &gt;85 Best imaginable.</t>
        </is>
      </c>
    </row>
    <row r="18">
      <c r="B18" s="2" t="inlineStr">
        <is>
          <t>Grade curve (Sauro &amp; Lewis): A &gt;= 80.3, B 74-80.3, C 68-74, D 51-68, F &lt; 51.</t>
        </is>
      </c>
    </row>
    <row r="19">
      <c r="B19" s="2" t="inlineStr">
        <is>
          <t>Sub-scales (Lewis &amp; Sauro, 2009): Learnability = items 4 and 10; Usability = the other eight. Both are rescaled to 0-100.</t>
        </is>
      </c>
    </row>
    <row r="20">
      <c r="B20" s="2" t="inlineStr"/>
    </row>
    <row r="21">
      <c r="B21" s="3" t="inlineStr">
        <is>
          <t>Reporting</t>
        </is>
      </c>
    </row>
    <row r="22">
      <c r="B22" s="2" t="inlineStr">
        <is>
          <t>Report the mean SUS with a dispersion measure and n. With small n, report the median and range as well.</t>
        </is>
      </c>
    </row>
    <row r="23">
      <c r="B23" s="2" t="inlineStr">
        <is>
          <t>Report per-condition scores separately; do not average across conditions that differ in task demand.</t>
        </is>
      </c>
    </row>
    <row r="24">
      <c r="B24" s="2" t="inlineStr"/>
    </row>
    <row r="25">
      <c r="B25" s="3" t="inlineStr">
        <is>
          <t>Reference</t>
        </is>
      </c>
    </row>
    <row r="26">
      <c r="B26" s="2" t="inlineStr">
        <is>
          <t>Brooke, J. (1996). SUS: A 'quick and dirty' usability scale. In Usability Evaluation in Industry, 189-194.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5" customWidth="1" min="15" max="15"/>
    <col width="13" customWidth="1" min="16" max="16"/>
    <col width="13" customWidth="1" min="17" max="17"/>
    <col width="18" customWidth="1" min="18" max="18"/>
    <col width="8" customWidth="1" min="19" max="19"/>
  </cols>
  <sheetData>
    <row r="1" ht="48" customHeight="1">
      <c r="A1" s="4" t="inlineStr">
        <is>
          <t>Participant ID</t>
        </is>
      </c>
      <c r="B1" s="4" t="inlineStr">
        <is>
          <t>Condition</t>
        </is>
      </c>
      <c r="C1" s="4" t="inlineStr">
        <is>
          <t>Date</t>
        </is>
      </c>
      <c r="D1" s="4" t="inlineStr">
        <is>
          <t>Q1 (+)</t>
        </is>
      </c>
      <c r="E1" s="4" t="inlineStr">
        <is>
          <t>Q2 (-)</t>
        </is>
      </c>
      <c r="F1" s="4" t="inlineStr">
        <is>
          <t>Q3 (+)</t>
        </is>
      </c>
      <c r="G1" s="4" t="inlineStr">
        <is>
          <t>Q4 (-)</t>
        </is>
      </c>
      <c r="H1" s="4" t="inlineStr">
        <is>
          <t>Q5 (+)</t>
        </is>
      </c>
      <c r="I1" s="4" t="inlineStr">
        <is>
          <t>Q6 (-)</t>
        </is>
      </c>
      <c r="J1" s="4" t="inlineStr">
        <is>
          <t>Q7 (+)</t>
        </is>
      </c>
      <c r="K1" s="4" t="inlineStr">
        <is>
          <t>Q8 (-)</t>
        </is>
      </c>
      <c r="L1" s="4" t="inlineStr">
        <is>
          <t>Q9 (+)</t>
        </is>
      </c>
      <c r="M1" s="4" t="inlineStr">
        <is>
          <t>Q10 (-)</t>
        </is>
      </c>
      <c r="N1" s="4" t="inlineStr">
        <is>
          <t>Items complete</t>
        </is>
      </c>
      <c r="O1" s="4" t="inlineStr">
        <is>
          <t>SUS Score (0-100)</t>
        </is>
      </c>
      <c r="P1" s="4" t="inlineStr">
        <is>
          <t>Usability sub-scale</t>
        </is>
      </c>
      <c r="Q1" s="4" t="inlineStr">
        <is>
          <t>Learnability sub-scale</t>
        </is>
      </c>
      <c r="R1" s="4" t="inlineStr">
        <is>
          <t>Adjective rating</t>
        </is>
      </c>
      <c r="S1" s="4" t="inlineStr">
        <is>
          <t>Grade</t>
        </is>
      </c>
    </row>
    <row r="2">
      <c r="A2" s="5" t="inlineStr">
        <is>
          <t>P01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>
        <f>COUNT(D2:M2)</f>
        <v/>
      </c>
      <c r="O2" s="6">
        <f>IF(COUNT(D2:M2)&lt;10,"",((D2-1)+(5-E2)+(F2-1)+(5-G2)+(H2-1)+(5-I2)+(J2-1)+(5-K2)+(L2-1)+(5-M2))*2.5)</f>
        <v/>
      </c>
      <c r="P2" s="6">
        <f>IF(COUNT(D2:M2)&lt;10,"",((D2-1)+(5-E2)+(F2-1)+(H2-1)+(5-I2)+(J2-1)+(5-K2)+(L2-1))*100/32)</f>
        <v/>
      </c>
      <c r="Q2" s="6">
        <f>IF(COUNT(D2:M2)&lt;10,"",((5-G2)+(5-M2))*100/8)</f>
        <v/>
      </c>
      <c r="R2" s="6">
        <f>IF(O2="","",IF(O2&lt;25,"Worst imaginable",IF(O2&lt;39,"Poor",IF(O2&lt;52,"OK",IF(O2&lt;73,"Good",IF(O2&lt;85,"Excellent","Best imaginable"))))))</f>
        <v/>
      </c>
      <c r="S2" s="6">
        <f>IF(O2="","",IF(O2&gt;=80.3,"A",IF(O2&gt;=74,"B",IF(O2&gt;=68,"C",IF(O2&gt;=51,"D","F")))))</f>
        <v/>
      </c>
    </row>
    <row r="3">
      <c r="A3" s="5" t="inlineStr">
        <is>
          <t>P02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6">
        <f>COUNT(D3:M3)</f>
        <v/>
      </c>
      <c r="O3" s="6">
        <f>IF(COUNT(D3:M3)&lt;10,"",((D3-1)+(5-E3)+(F3-1)+(5-G3)+(H3-1)+(5-I3)+(J3-1)+(5-K3)+(L3-1)+(5-M3))*2.5)</f>
        <v/>
      </c>
      <c r="P3" s="6">
        <f>IF(COUNT(D3:M3)&lt;10,"",((D3-1)+(5-E3)+(F3-1)+(H3-1)+(5-I3)+(J3-1)+(5-K3)+(L3-1))*100/32)</f>
        <v/>
      </c>
      <c r="Q3" s="6">
        <f>IF(COUNT(D3:M3)&lt;10,"",((5-G3)+(5-M3))*100/8)</f>
        <v/>
      </c>
      <c r="R3" s="6">
        <f>IF(O3="","",IF(O3&lt;25,"Worst imaginable",IF(O3&lt;39,"Poor",IF(O3&lt;52,"OK",IF(O3&lt;73,"Good",IF(O3&lt;85,"Excellent","Best imaginable"))))))</f>
        <v/>
      </c>
      <c r="S3" s="6">
        <f>IF(O3="","",IF(O3&gt;=80.3,"A",IF(O3&gt;=74,"B",IF(O3&gt;=68,"C",IF(O3&gt;=51,"D","F")))))</f>
        <v/>
      </c>
    </row>
    <row r="4">
      <c r="A4" s="5" t="inlineStr">
        <is>
          <t>P03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6">
        <f>COUNT(D4:M4)</f>
        <v/>
      </c>
      <c r="O4" s="6">
        <f>IF(COUNT(D4:M4)&lt;10,"",((D4-1)+(5-E4)+(F4-1)+(5-G4)+(H4-1)+(5-I4)+(J4-1)+(5-K4)+(L4-1)+(5-M4))*2.5)</f>
        <v/>
      </c>
      <c r="P4" s="6">
        <f>IF(COUNT(D4:M4)&lt;10,"",((D4-1)+(5-E4)+(F4-1)+(H4-1)+(5-I4)+(J4-1)+(5-K4)+(L4-1))*100/32)</f>
        <v/>
      </c>
      <c r="Q4" s="6">
        <f>IF(COUNT(D4:M4)&lt;10,"",((5-G4)+(5-M4))*100/8)</f>
        <v/>
      </c>
      <c r="R4" s="6">
        <f>IF(O4="","",IF(O4&lt;25,"Worst imaginable",IF(O4&lt;39,"Poor",IF(O4&lt;52,"OK",IF(O4&lt;73,"Good",IF(O4&lt;85,"Excellent","Best imaginable"))))))</f>
        <v/>
      </c>
      <c r="S4" s="6">
        <f>IF(O4="","",IF(O4&gt;=80.3,"A",IF(O4&gt;=74,"B",IF(O4&gt;=68,"C",IF(O4&gt;=51,"D","F")))))</f>
        <v/>
      </c>
    </row>
    <row r="5">
      <c r="A5" s="5" t="inlineStr">
        <is>
          <t>P04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>
        <f>COUNT(D5:M5)</f>
        <v/>
      </c>
      <c r="O5" s="6">
        <f>IF(COUNT(D5:M5)&lt;10,"",((D5-1)+(5-E5)+(F5-1)+(5-G5)+(H5-1)+(5-I5)+(J5-1)+(5-K5)+(L5-1)+(5-M5))*2.5)</f>
        <v/>
      </c>
      <c r="P5" s="6">
        <f>IF(COUNT(D5:M5)&lt;10,"",((D5-1)+(5-E5)+(F5-1)+(H5-1)+(5-I5)+(J5-1)+(5-K5)+(L5-1))*100/32)</f>
        <v/>
      </c>
      <c r="Q5" s="6">
        <f>IF(COUNT(D5:M5)&lt;10,"",((5-G5)+(5-M5))*100/8)</f>
        <v/>
      </c>
      <c r="R5" s="6">
        <f>IF(O5="","",IF(O5&lt;25,"Worst imaginable",IF(O5&lt;39,"Poor",IF(O5&lt;52,"OK",IF(O5&lt;73,"Good",IF(O5&lt;85,"Excellent","Best imaginable"))))))</f>
        <v/>
      </c>
      <c r="S5" s="6">
        <f>IF(O5="","",IF(O5&gt;=80.3,"A",IF(O5&gt;=74,"B",IF(O5&gt;=68,"C",IF(O5&gt;=51,"D","F")))))</f>
        <v/>
      </c>
    </row>
    <row r="6">
      <c r="A6" s="5" t="inlineStr">
        <is>
          <t>P05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>
        <f>COUNT(D6:M6)</f>
        <v/>
      </c>
      <c r="O6" s="6">
        <f>IF(COUNT(D6:M6)&lt;10,"",((D6-1)+(5-E6)+(F6-1)+(5-G6)+(H6-1)+(5-I6)+(J6-1)+(5-K6)+(L6-1)+(5-M6))*2.5)</f>
        <v/>
      </c>
      <c r="P6" s="6">
        <f>IF(COUNT(D6:M6)&lt;10,"",((D6-1)+(5-E6)+(F6-1)+(H6-1)+(5-I6)+(J6-1)+(5-K6)+(L6-1))*100/32)</f>
        <v/>
      </c>
      <c r="Q6" s="6">
        <f>IF(COUNT(D6:M6)&lt;10,"",((5-G6)+(5-M6))*100/8)</f>
        <v/>
      </c>
      <c r="R6" s="6">
        <f>IF(O6="","",IF(O6&lt;25,"Worst imaginable",IF(O6&lt;39,"Poor",IF(O6&lt;52,"OK",IF(O6&lt;73,"Good",IF(O6&lt;85,"Excellent","Best imaginable"))))))</f>
        <v/>
      </c>
      <c r="S6" s="6">
        <f>IF(O6="","",IF(O6&gt;=80.3,"A",IF(O6&gt;=74,"B",IF(O6&gt;=68,"C",IF(O6&gt;=51,"D","F")))))</f>
        <v/>
      </c>
    </row>
    <row r="7">
      <c r="A7" s="5" t="inlineStr">
        <is>
          <t>P06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6">
        <f>COUNT(D7:M7)</f>
        <v/>
      </c>
      <c r="O7" s="6">
        <f>IF(COUNT(D7:M7)&lt;10,"",((D7-1)+(5-E7)+(F7-1)+(5-G7)+(H7-1)+(5-I7)+(J7-1)+(5-K7)+(L7-1)+(5-M7))*2.5)</f>
        <v/>
      </c>
      <c r="P7" s="6">
        <f>IF(COUNT(D7:M7)&lt;10,"",((D7-1)+(5-E7)+(F7-1)+(H7-1)+(5-I7)+(J7-1)+(5-K7)+(L7-1))*100/32)</f>
        <v/>
      </c>
      <c r="Q7" s="6">
        <f>IF(COUNT(D7:M7)&lt;10,"",((5-G7)+(5-M7))*100/8)</f>
        <v/>
      </c>
      <c r="R7" s="6">
        <f>IF(O7="","",IF(O7&lt;25,"Worst imaginable",IF(O7&lt;39,"Poor",IF(O7&lt;52,"OK",IF(O7&lt;73,"Good",IF(O7&lt;85,"Excellent","Best imaginable"))))))</f>
        <v/>
      </c>
      <c r="S7" s="6">
        <f>IF(O7="","",IF(O7&gt;=80.3,"A",IF(O7&gt;=74,"B",IF(O7&gt;=68,"C",IF(O7&gt;=51,"D","F")))))</f>
        <v/>
      </c>
    </row>
    <row r="8">
      <c r="A8" s="5" t="inlineStr">
        <is>
          <t>P07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6">
        <f>COUNT(D8:M8)</f>
        <v/>
      </c>
      <c r="O8" s="6">
        <f>IF(COUNT(D8:M8)&lt;10,"",((D8-1)+(5-E8)+(F8-1)+(5-G8)+(H8-1)+(5-I8)+(J8-1)+(5-K8)+(L8-1)+(5-M8))*2.5)</f>
        <v/>
      </c>
      <c r="P8" s="6">
        <f>IF(COUNT(D8:M8)&lt;10,"",((D8-1)+(5-E8)+(F8-1)+(H8-1)+(5-I8)+(J8-1)+(5-K8)+(L8-1))*100/32)</f>
        <v/>
      </c>
      <c r="Q8" s="6">
        <f>IF(COUNT(D8:M8)&lt;10,"",((5-G8)+(5-M8))*100/8)</f>
        <v/>
      </c>
      <c r="R8" s="6">
        <f>IF(O8="","",IF(O8&lt;25,"Worst imaginable",IF(O8&lt;39,"Poor",IF(O8&lt;52,"OK",IF(O8&lt;73,"Good",IF(O8&lt;85,"Excellent","Best imaginable"))))))</f>
        <v/>
      </c>
      <c r="S8" s="6">
        <f>IF(O8="","",IF(O8&gt;=80.3,"A",IF(O8&gt;=74,"B",IF(O8&gt;=68,"C",IF(O8&gt;=51,"D","F")))))</f>
        <v/>
      </c>
    </row>
    <row r="9">
      <c r="A9" s="5" t="inlineStr">
        <is>
          <t>P08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6">
        <f>COUNT(D9:M9)</f>
        <v/>
      </c>
      <c r="O9" s="6">
        <f>IF(COUNT(D9:M9)&lt;10,"",((D9-1)+(5-E9)+(F9-1)+(5-G9)+(H9-1)+(5-I9)+(J9-1)+(5-K9)+(L9-1)+(5-M9))*2.5)</f>
        <v/>
      </c>
      <c r="P9" s="6">
        <f>IF(COUNT(D9:M9)&lt;10,"",((D9-1)+(5-E9)+(F9-1)+(H9-1)+(5-I9)+(J9-1)+(5-K9)+(L9-1))*100/32)</f>
        <v/>
      </c>
      <c r="Q9" s="6">
        <f>IF(COUNT(D9:M9)&lt;10,"",((5-G9)+(5-M9))*100/8)</f>
        <v/>
      </c>
      <c r="R9" s="6">
        <f>IF(O9="","",IF(O9&lt;25,"Worst imaginable",IF(O9&lt;39,"Poor",IF(O9&lt;52,"OK",IF(O9&lt;73,"Good",IF(O9&lt;85,"Excellent","Best imaginable"))))))</f>
        <v/>
      </c>
      <c r="S9" s="6">
        <f>IF(O9="","",IF(O9&gt;=80.3,"A",IF(O9&gt;=74,"B",IF(O9&gt;=68,"C",IF(O9&gt;=51,"D","F")))))</f>
        <v/>
      </c>
    </row>
    <row r="10">
      <c r="A10" s="5" t="inlineStr">
        <is>
          <t>P09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6">
        <f>COUNT(D10:M10)</f>
        <v/>
      </c>
      <c r="O10" s="6">
        <f>IF(COUNT(D10:M10)&lt;10,"",((D10-1)+(5-E10)+(F10-1)+(5-G10)+(H10-1)+(5-I10)+(J10-1)+(5-K10)+(L10-1)+(5-M10))*2.5)</f>
        <v/>
      </c>
      <c r="P10" s="6">
        <f>IF(COUNT(D10:M10)&lt;10,"",((D10-1)+(5-E10)+(F10-1)+(H10-1)+(5-I10)+(J10-1)+(5-K10)+(L10-1))*100/32)</f>
        <v/>
      </c>
      <c r="Q10" s="6">
        <f>IF(COUNT(D10:M10)&lt;10,"",((5-G10)+(5-M10))*100/8)</f>
        <v/>
      </c>
      <c r="R10" s="6">
        <f>IF(O10="","",IF(O10&lt;25,"Worst imaginable",IF(O10&lt;39,"Poor",IF(O10&lt;52,"OK",IF(O10&lt;73,"Good",IF(O10&lt;85,"Excellent","Best imaginable"))))))</f>
        <v/>
      </c>
      <c r="S10" s="6">
        <f>IF(O10="","",IF(O10&gt;=80.3,"A",IF(O10&gt;=74,"B",IF(O10&gt;=68,"C",IF(O10&gt;=51,"D","F")))))</f>
        <v/>
      </c>
    </row>
    <row r="11">
      <c r="A11" s="5" t="inlineStr">
        <is>
          <t>P10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6">
        <f>COUNT(D11:M11)</f>
        <v/>
      </c>
      <c r="O11" s="6">
        <f>IF(COUNT(D11:M11)&lt;10,"",((D11-1)+(5-E11)+(F11-1)+(5-G11)+(H11-1)+(5-I11)+(J11-1)+(5-K11)+(L11-1)+(5-M11))*2.5)</f>
        <v/>
      </c>
      <c r="P11" s="6">
        <f>IF(COUNT(D11:M11)&lt;10,"",((D11-1)+(5-E11)+(F11-1)+(H11-1)+(5-I11)+(J11-1)+(5-K11)+(L11-1))*100/32)</f>
        <v/>
      </c>
      <c r="Q11" s="6">
        <f>IF(COUNT(D11:M11)&lt;10,"",((5-G11)+(5-M11))*100/8)</f>
        <v/>
      </c>
      <c r="R11" s="6">
        <f>IF(O11="","",IF(O11&lt;25,"Worst imaginable",IF(O11&lt;39,"Poor",IF(O11&lt;52,"OK",IF(O11&lt;73,"Good",IF(O11&lt;85,"Excellent","Best imaginable"))))))</f>
        <v/>
      </c>
      <c r="S11" s="6">
        <f>IF(O11="","",IF(O11&gt;=80.3,"A",IF(O11&gt;=74,"B",IF(O11&gt;=68,"C",IF(O11&gt;=51,"D","F")))))</f>
        <v/>
      </c>
    </row>
    <row r="12">
      <c r="A12" s="5" t="inlineStr">
        <is>
          <t>P11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6">
        <f>COUNT(D12:M12)</f>
        <v/>
      </c>
      <c r="O12" s="6">
        <f>IF(COUNT(D12:M12)&lt;10,"",((D12-1)+(5-E12)+(F12-1)+(5-G12)+(H12-1)+(5-I12)+(J12-1)+(5-K12)+(L12-1)+(5-M12))*2.5)</f>
        <v/>
      </c>
      <c r="P12" s="6">
        <f>IF(COUNT(D12:M12)&lt;10,"",((D12-1)+(5-E12)+(F12-1)+(H12-1)+(5-I12)+(J12-1)+(5-K12)+(L12-1))*100/32)</f>
        <v/>
      </c>
      <c r="Q12" s="6">
        <f>IF(COUNT(D12:M12)&lt;10,"",((5-G12)+(5-M12))*100/8)</f>
        <v/>
      </c>
      <c r="R12" s="6">
        <f>IF(O12="","",IF(O12&lt;25,"Worst imaginable",IF(O12&lt;39,"Poor",IF(O12&lt;52,"OK",IF(O12&lt;73,"Good",IF(O12&lt;85,"Excellent","Best imaginable"))))))</f>
        <v/>
      </c>
      <c r="S12" s="6">
        <f>IF(O12="","",IF(O12&gt;=80.3,"A",IF(O12&gt;=74,"B",IF(O12&gt;=68,"C",IF(O12&gt;=51,"D","F")))))</f>
        <v/>
      </c>
    </row>
    <row r="13">
      <c r="A13" s="5" t="inlineStr">
        <is>
          <t>P12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6">
        <f>COUNT(D13:M13)</f>
        <v/>
      </c>
      <c r="O13" s="6">
        <f>IF(COUNT(D13:M13)&lt;10,"",((D13-1)+(5-E13)+(F13-1)+(5-G13)+(H13-1)+(5-I13)+(J13-1)+(5-K13)+(L13-1)+(5-M13))*2.5)</f>
        <v/>
      </c>
      <c r="P13" s="6">
        <f>IF(COUNT(D13:M13)&lt;10,"",((D13-1)+(5-E13)+(F13-1)+(H13-1)+(5-I13)+(J13-1)+(5-K13)+(L13-1))*100/32)</f>
        <v/>
      </c>
      <c r="Q13" s="6">
        <f>IF(COUNT(D13:M13)&lt;10,"",((5-G13)+(5-M13))*100/8)</f>
        <v/>
      </c>
      <c r="R13" s="6">
        <f>IF(O13="","",IF(O13&lt;25,"Worst imaginable",IF(O13&lt;39,"Poor",IF(O13&lt;52,"OK",IF(O13&lt;73,"Good",IF(O13&lt;85,"Excellent","Best imaginable"))))))</f>
        <v/>
      </c>
      <c r="S13" s="6">
        <f>IF(O13="","",IF(O13&gt;=80.3,"A",IF(O13&gt;=74,"B",IF(O13&gt;=68,"C",IF(O13&gt;=51,"D","F")))))</f>
        <v/>
      </c>
    </row>
    <row r="14">
      <c r="A14" s="5" t="inlineStr">
        <is>
          <t>P13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6">
        <f>COUNT(D14:M14)</f>
        <v/>
      </c>
      <c r="O14" s="6">
        <f>IF(COUNT(D14:M14)&lt;10,"",((D14-1)+(5-E14)+(F14-1)+(5-G14)+(H14-1)+(5-I14)+(J14-1)+(5-K14)+(L14-1)+(5-M14))*2.5)</f>
        <v/>
      </c>
      <c r="P14" s="6">
        <f>IF(COUNT(D14:M14)&lt;10,"",((D14-1)+(5-E14)+(F14-1)+(H14-1)+(5-I14)+(J14-1)+(5-K14)+(L14-1))*100/32)</f>
        <v/>
      </c>
      <c r="Q14" s="6">
        <f>IF(COUNT(D14:M14)&lt;10,"",((5-G14)+(5-M14))*100/8)</f>
        <v/>
      </c>
      <c r="R14" s="6">
        <f>IF(O14="","",IF(O14&lt;25,"Worst imaginable",IF(O14&lt;39,"Poor",IF(O14&lt;52,"OK",IF(O14&lt;73,"Good",IF(O14&lt;85,"Excellent","Best imaginable"))))))</f>
        <v/>
      </c>
      <c r="S14" s="6">
        <f>IF(O14="","",IF(O14&gt;=80.3,"A",IF(O14&gt;=74,"B",IF(O14&gt;=68,"C",IF(O14&gt;=51,"D","F")))))</f>
        <v/>
      </c>
    </row>
    <row r="15">
      <c r="A15" s="5" t="inlineStr">
        <is>
          <t>P14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6">
        <f>COUNT(D15:M15)</f>
        <v/>
      </c>
      <c r="O15" s="6">
        <f>IF(COUNT(D15:M15)&lt;10,"",((D15-1)+(5-E15)+(F15-1)+(5-G15)+(H15-1)+(5-I15)+(J15-1)+(5-K15)+(L15-1)+(5-M15))*2.5)</f>
        <v/>
      </c>
      <c r="P15" s="6">
        <f>IF(COUNT(D15:M15)&lt;10,"",((D15-1)+(5-E15)+(F15-1)+(H15-1)+(5-I15)+(J15-1)+(5-K15)+(L15-1))*100/32)</f>
        <v/>
      </c>
      <c r="Q15" s="6">
        <f>IF(COUNT(D15:M15)&lt;10,"",((5-G15)+(5-M15))*100/8)</f>
        <v/>
      </c>
      <c r="R15" s="6">
        <f>IF(O15="","",IF(O15&lt;25,"Worst imaginable",IF(O15&lt;39,"Poor",IF(O15&lt;52,"OK",IF(O15&lt;73,"Good",IF(O15&lt;85,"Excellent","Best imaginable"))))))</f>
        <v/>
      </c>
      <c r="S15" s="6">
        <f>IF(O15="","",IF(O15&gt;=80.3,"A",IF(O15&gt;=74,"B",IF(O15&gt;=68,"C",IF(O15&gt;=51,"D","F")))))</f>
        <v/>
      </c>
    </row>
    <row r="16">
      <c r="A16" s="5" t="inlineStr">
        <is>
          <t>P15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6">
        <f>COUNT(D16:M16)</f>
        <v/>
      </c>
      <c r="O16" s="6">
        <f>IF(COUNT(D16:M16)&lt;10,"",((D16-1)+(5-E16)+(F16-1)+(5-G16)+(H16-1)+(5-I16)+(J16-1)+(5-K16)+(L16-1)+(5-M16))*2.5)</f>
        <v/>
      </c>
      <c r="P16" s="6">
        <f>IF(COUNT(D16:M16)&lt;10,"",((D16-1)+(5-E16)+(F16-1)+(H16-1)+(5-I16)+(J16-1)+(5-K16)+(L16-1))*100/32)</f>
        <v/>
      </c>
      <c r="Q16" s="6">
        <f>IF(COUNT(D16:M16)&lt;10,"",((5-G16)+(5-M16))*100/8)</f>
        <v/>
      </c>
      <c r="R16" s="6">
        <f>IF(O16="","",IF(O16&lt;25,"Worst imaginable",IF(O16&lt;39,"Poor",IF(O16&lt;52,"OK",IF(O16&lt;73,"Good",IF(O16&lt;85,"Excellent","Best imaginable"))))))</f>
        <v/>
      </c>
      <c r="S16" s="6">
        <f>IF(O16="","",IF(O16&gt;=80.3,"A",IF(O16&gt;=74,"B",IF(O16&gt;=68,"C",IF(O16&gt;=51,"D","F")))))</f>
        <v/>
      </c>
    </row>
    <row r="17">
      <c r="A17" s="5" t="inlineStr">
        <is>
          <t>P16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6">
        <f>COUNT(D17:M17)</f>
        <v/>
      </c>
      <c r="O17" s="6">
        <f>IF(COUNT(D17:M17)&lt;10,"",((D17-1)+(5-E17)+(F17-1)+(5-G17)+(H17-1)+(5-I17)+(J17-1)+(5-K17)+(L17-1)+(5-M17))*2.5)</f>
        <v/>
      </c>
      <c r="P17" s="6">
        <f>IF(COUNT(D17:M17)&lt;10,"",((D17-1)+(5-E17)+(F17-1)+(H17-1)+(5-I17)+(J17-1)+(5-K17)+(L17-1))*100/32)</f>
        <v/>
      </c>
      <c r="Q17" s="6">
        <f>IF(COUNT(D17:M17)&lt;10,"",((5-G17)+(5-M17))*100/8)</f>
        <v/>
      </c>
      <c r="R17" s="6">
        <f>IF(O17="","",IF(O17&lt;25,"Worst imaginable",IF(O17&lt;39,"Poor",IF(O17&lt;52,"OK",IF(O17&lt;73,"Good",IF(O17&lt;85,"Excellent","Best imaginable"))))))</f>
        <v/>
      </c>
      <c r="S17" s="6">
        <f>IF(O17="","",IF(O17&gt;=80.3,"A",IF(O17&gt;=74,"B",IF(O17&gt;=68,"C",IF(O17&gt;=51,"D","F")))))</f>
        <v/>
      </c>
    </row>
    <row r="18">
      <c r="A18" s="5" t="inlineStr">
        <is>
          <t>P17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6">
        <f>COUNT(D18:M18)</f>
        <v/>
      </c>
      <c r="O18" s="6">
        <f>IF(COUNT(D18:M18)&lt;10,"",((D18-1)+(5-E18)+(F18-1)+(5-G18)+(H18-1)+(5-I18)+(J18-1)+(5-K18)+(L18-1)+(5-M18))*2.5)</f>
        <v/>
      </c>
      <c r="P18" s="6">
        <f>IF(COUNT(D18:M18)&lt;10,"",((D18-1)+(5-E18)+(F18-1)+(H18-1)+(5-I18)+(J18-1)+(5-K18)+(L18-1))*100/32)</f>
        <v/>
      </c>
      <c r="Q18" s="6">
        <f>IF(COUNT(D18:M18)&lt;10,"",((5-G18)+(5-M18))*100/8)</f>
        <v/>
      </c>
      <c r="R18" s="6">
        <f>IF(O18="","",IF(O18&lt;25,"Worst imaginable",IF(O18&lt;39,"Poor",IF(O18&lt;52,"OK",IF(O18&lt;73,"Good",IF(O18&lt;85,"Excellent","Best imaginable"))))))</f>
        <v/>
      </c>
      <c r="S18" s="6">
        <f>IF(O18="","",IF(O18&gt;=80.3,"A",IF(O18&gt;=74,"B",IF(O18&gt;=68,"C",IF(O18&gt;=51,"D","F")))))</f>
        <v/>
      </c>
    </row>
    <row r="19">
      <c r="A19" s="5" t="inlineStr">
        <is>
          <t>P18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6">
        <f>COUNT(D19:M19)</f>
        <v/>
      </c>
      <c r="O19" s="6">
        <f>IF(COUNT(D19:M19)&lt;10,"",((D19-1)+(5-E19)+(F19-1)+(5-G19)+(H19-1)+(5-I19)+(J19-1)+(5-K19)+(L19-1)+(5-M19))*2.5)</f>
        <v/>
      </c>
      <c r="P19" s="6">
        <f>IF(COUNT(D19:M19)&lt;10,"",((D19-1)+(5-E19)+(F19-1)+(H19-1)+(5-I19)+(J19-1)+(5-K19)+(L19-1))*100/32)</f>
        <v/>
      </c>
      <c r="Q19" s="6">
        <f>IF(COUNT(D19:M19)&lt;10,"",((5-G19)+(5-M19))*100/8)</f>
        <v/>
      </c>
      <c r="R19" s="6">
        <f>IF(O19="","",IF(O19&lt;25,"Worst imaginable",IF(O19&lt;39,"Poor",IF(O19&lt;52,"OK",IF(O19&lt;73,"Good",IF(O19&lt;85,"Excellent","Best imaginable"))))))</f>
        <v/>
      </c>
      <c r="S19" s="6">
        <f>IF(O19="","",IF(O19&gt;=80.3,"A",IF(O19&gt;=74,"B",IF(O19&gt;=68,"C",IF(O19&gt;=51,"D","F")))))</f>
        <v/>
      </c>
    </row>
    <row r="20">
      <c r="A20" s="5" t="inlineStr">
        <is>
          <t>P19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6">
        <f>COUNT(D20:M20)</f>
        <v/>
      </c>
      <c r="O20" s="6">
        <f>IF(COUNT(D20:M20)&lt;10,"",((D20-1)+(5-E20)+(F20-1)+(5-G20)+(H20-1)+(5-I20)+(J20-1)+(5-K20)+(L20-1)+(5-M20))*2.5)</f>
        <v/>
      </c>
      <c r="P20" s="6">
        <f>IF(COUNT(D20:M20)&lt;10,"",((D20-1)+(5-E20)+(F20-1)+(H20-1)+(5-I20)+(J20-1)+(5-K20)+(L20-1))*100/32)</f>
        <v/>
      </c>
      <c r="Q20" s="6">
        <f>IF(COUNT(D20:M20)&lt;10,"",((5-G20)+(5-M20))*100/8)</f>
        <v/>
      </c>
      <c r="R20" s="6">
        <f>IF(O20="","",IF(O20&lt;25,"Worst imaginable",IF(O20&lt;39,"Poor",IF(O20&lt;52,"OK",IF(O20&lt;73,"Good",IF(O20&lt;85,"Excellent","Best imaginable"))))))</f>
        <v/>
      </c>
      <c r="S20" s="6">
        <f>IF(O20="","",IF(O20&gt;=80.3,"A",IF(O20&gt;=74,"B",IF(O20&gt;=68,"C",IF(O20&gt;=51,"D","F")))))</f>
        <v/>
      </c>
    </row>
    <row r="21">
      <c r="A21" s="5" t="inlineStr">
        <is>
          <t>P20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6">
        <f>COUNT(D21:M21)</f>
        <v/>
      </c>
      <c r="O21" s="6">
        <f>IF(COUNT(D21:M21)&lt;10,"",((D21-1)+(5-E21)+(F21-1)+(5-G21)+(H21-1)+(5-I21)+(J21-1)+(5-K21)+(L21-1)+(5-M21))*2.5)</f>
        <v/>
      </c>
      <c r="P21" s="6">
        <f>IF(COUNT(D21:M21)&lt;10,"",((D21-1)+(5-E21)+(F21-1)+(H21-1)+(5-I21)+(J21-1)+(5-K21)+(L21-1))*100/32)</f>
        <v/>
      </c>
      <c r="Q21" s="6">
        <f>IF(COUNT(D21:M21)&lt;10,"",((5-G21)+(5-M21))*100/8)</f>
        <v/>
      </c>
      <c r="R21" s="6">
        <f>IF(O21="","",IF(O21&lt;25,"Worst imaginable",IF(O21&lt;39,"Poor",IF(O21&lt;52,"OK",IF(O21&lt;73,"Good",IF(O21&lt;85,"Excellent","Best imaginable"))))))</f>
        <v/>
      </c>
      <c r="S21" s="6">
        <f>IF(O21="","",IF(O21&gt;=80.3,"A",IF(O21&gt;=74,"B",IF(O21&gt;=68,"C",IF(O21&gt;=51,"D","F")))))</f>
        <v/>
      </c>
    </row>
    <row r="22">
      <c r="A22" s="5" t="inlineStr">
        <is>
          <t>P21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6">
        <f>COUNT(D22:M22)</f>
        <v/>
      </c>
      <c r="O22" s="6">
        <f>IF(COUNT(D22:M22)&lt;10,"",((D22-1)+(5-E22)+(F22-1)+(5-G22)+(H22-1)+(5-I22)+(J22-1)+(5-K22)+(L22-1)+(5-M22))*2.5)</f>
        <v/>
      </c>
      <c r="P22" s="6">
        <f>IF(COUNT(D22:M22)&lt;10,"",((D22-1)+(5-E22)+(F22-1)+(H22-1)+(5-I22)+(J22-1)+(5-K22)+(L22-1))*100/32)</f>
        <v/>
      </c>
      <c r="Q22" s="6">
        <f>IF(COUNT(D22:M22)&lt;10,"",((5-G22)+(5-M22))*100/8)</f>
        <v/>
      </c>
      <c r="R22" s="6">
        <f>IF(O22="","",IF(O22&lt;25,"Worst imaginable",IF(O22&lt;39,"Poor",IF(O22&lt;52,"OK",IF(O22&lt;73,"Good",IF(O22&lt;85,"Excellent","Best imaginable"))))))</f>
        <v/>
      </c>
      <c r="S22" s="6">
        <f>IF(O22="","",IF(O22&gt;=80.3,"A",IF(O22&gt;=74,"B",IF(O22&gt;=68,"C",IF(O22&gt;=51,"D","F")))))</f>
        <v/>
      </c>
    </row>
    <row r="23">
      <c r="A23" s="5" t="inlineStr">
        <is>
          <t>P22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6">
        <f>COUNT(D23:M23)</f>
        <v/>
      </c>
      <c r="O23" s="6">
        <f>IF(COUNT(D23:M23)&lt;10,"",((D23-1)+(5-E23)+(F23-1)+(5-G23)+(H23-1)+(5-I23)+(J23-1)+(5-K23)+(L23-1)+(5-M23))*2.5)</f>
        <v/>
      </c>
      <c r="P23" s="6">
        <f>IF(COUNT(D23:M23)&lt;10,"",((D23-1)+(5-E23)+(F23-1)+(H23-1)+(5-I23)+(J23-1)+(5-K23)+(L23-1))*100/32)</f>
        <v/>
      </c>
      <c r="Q23" s="6">
        <f>IF(COUNT(D23:M23)&lt;10,"",((5-G23)+(5-M23))*100/8)</f>
        <v/>
      </c>
      <c r="R23" s="6">
        <f>IF(O23="","",IF(O23&lt;25,"Worst imaginable",IF(O23&lt;39,"Poor",IF(O23&lt;52,"OK",IF(O23&lt;73,"Good",IF(O23&lt;85,"Excellent","Best imaginable"))))))</f>
        <v/>
      </c>
      <c r="S23" s="6">
        <f>IF(O23="","",IF(O23&gt;=80.3,"A",IF(O23&gt;=74,"B",IF(O23&gt;=68,"C",IF(O23&gt;=51,"D","F")))))</f>
        <v/>
      </c>
    </row>
    <row r="24">
      <c r="A24" s="5" t="inlineStr">
        <is>
          <t>P23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6">
        <f>COUNT(D24:M24)</f>
        <v/>
      </c>
      <c r="O24" s="6">
        <f>IF(COUNT(D24:M24)&lt;10,"",((D24-1)+(5-E24)+(F24-1)+(5-G24)+(H24-1)+(5-I24)+(J24-1)+(5-K24)+(L24-1)+(5-M24))*2.5)</f>
        <v/>
      </c>
      <c r="P24" s="6">
        <f>IF(COUNT(D24:M24)&lt;10,"",((D24-1)+(5-E24)+(F24-1)+(H24-1)+(5-I24)+(J24-1)+(5-K24)+(L24-1))*100/32)</f>
        <v/>
      </c>
      <c r="Q24" s="6">
        <f>IF(COUNT(D24:M24)&lt;10,"",((5-G24)+(5-M24))*100/8)</f>
        <v/>
      </c>
      <c r="R24" s="6">
        <f>IF(O24="","",IF(O24&lt;25,"Worst imaginable",IF(O24&lt;39,"Poor",IF(O24&lt;52,"OK",IF(O24&lt;73,"Good",IF(O24&lt;85,"Excellent","Best imaginable"))))))</f>
        <v/>
      </c>
      <c r="S24" s="6">
        <f>IF(O24="","",IF(O24&gt;=80.3,"A",IF(O24&gt;=74,"B",IF(O24&gt;=68,"C",IF(O24&gt;=51,"D","F")))))</f>
        <v/>
      </c>
    </row>
    <row r="25">
      <c r="A25" s="5" t="inlineStr">
        <is>
          <t>P24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6">
        <f>COUNT(D25:M25)</f>
        <v/>
      </c>
      <c r="O25" s="6">
        <f>IF(COUNT(D25:M25)&lt;10,"",((D25-1)+(5-E25)+(F25-1)+(5-G25)+(H25-1)+(5-I25)+(J25-1)+(5-K25)+(L25-1)+(5-M25))*2.5)</f>
        <v/>
      </c>
      <c r="P25" s="6">
        <f>IF(COUNT(D25:M25)&lt;10,"",((D25-1)+(5-E25)+(F25-1)+(H25-1)+(5-I25)+(J25-1)+(5-K25)+(L25-1))*100/32)</f>
        <v/>
      </c>
      <c r="Q25" s="6">
        <f>IF(COUNT(D25:M25)&lt;10,"",((5-G25)+(5-M25))*100/8)</f>
        <v/>
      </c>
      <c r="R25" s="6">
        <f>IF(O25="","",IF(O25&lt;25,"Worst imaginable",IF(O25&lt;39,"Poor",IF(O25&lt;52,"OK",IF(O25&lt;73,"Good",IF(O25&lt;85,"Excellent","Best imaginable"))))))</f>
        <v/>
      </c>
      <c r="S25" s="6">
        <f>IF(O25="","",IF(O25&gt;=80.3,"A",IF(O25&gt;=74,"B",IF(O25&gt;=68,"C",IF(O25&gt;=51,"D","F")))))</f>
        <v/>
      </c>
    </row>
    <row r="26">
      <c r="A26" s="5" t="inlineStr">
        <is>
          <t>P25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6">
        <f>COUNT(D26:M26)</f>
        <v/>
      </c>
      <c r="O26" s="6">
        <f>IF(COUNT(D26:M26)&lt;10,"",((D26-1)+(5-E26)+(F26-1)+(5-G26)+(H26-1)+(5-I26)+(J26-1)+(5-K26)+(L26-1)+(5-M26))*2.5)</f>
        <v/>
      </c>
      <c r="P26" s="6">
        <f>IF(COUNT(D26:M26)&lt;10,"",((D26-1)+(5-E26)+(F26-1)+(H26-1)+(5-I26)+(J26-1)+(5-K26)+(L26-1))*100/32)</f>
        <v/>
      </c>
      <c r="Q26" s="6">
        <f>IF(COUNT(D26:M26)&lt;10,"",((5-G26)+(5-M26))*100/8)</f>
        <v/>
      </c>
      <c r="R26" s="6">
        <f>IF(O26="","",IF(O26&lt;25,"Worst imaginable",IF(O26&lt;39,"Poor",IF(O26&lt;52,"OK",IF(O26&lt;73,"Good",IF(O26&lt;85,"Excellent","Best imaginable"))))))</f>
        <v/>
      </c>
      <c r="S26" s="6">
        <f>IF(O26="","",IF(O26&gt;=80.3,"A",IF(O26&gt;=74,"B",IF(O26&gt;=68,"C",IF(O26&gt;=51,"D","F")))))</f>
        <v/>
      </c>
    </row>
    <row r="27">
      <c r="A27" s="5" t="inlineStr">
        <is>
          <t>P26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6">
        <f>COUNT(D27:M27)</f>
        <v/>
      </c>
      <c r="O27" s="6">
        <f>IF(COUNT(D27:M27)&lt;10,"",((D27-1)+(5-E27)+(F27-1)+(5-G27)+(H27-1)+(5-I27)+(J27-1)+(5-K27)+(L27-1)+(5-M27))*2.5)</f>
        <v/>
      </c>
      <c r="P27" s="6">
        <f>IF(COUNT(D27:M27)&lt;10,"",((D27-1)+(5-E27)+(F27-1)+(H27-1)+(5-I27)+(J27-1)+(5-K27)+(L27-1))*100/32)</f>
        <v/>
      </c>
      <c r="Q27" s="6">
        <f>IF(COUNT(D27:M27)&lt;10,"",((5-G27)+(5-M27))*100/8)</f>
        <v/>
      </c>
      <c r="R27" s="6">
        <f>IF(O27="","",IF(O27&lt;25,"Worst imaginable",IF(O27&lt;39,"Poor",IF(O27&lt;52,"OK",IF(O27&lt;73,"Good",IF(O27&lt;85,"Excellent","Best imaginable"))))))</f>
        <v/>
      </c>
      <c r="S27" s="6">
        <f>IF(O27="","",IF(O27&gt;=80.3,"A",IF(O27&gt;=74,"B",IF(O27&gt;=68,"C",IF(O27&gt;=51,"D","F")))))</f>
        <v/>
      </c>
    </row>
    <row r="28">
      <c r="A28" s="5" t="inlineStr">
        <is>
          <t>P27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6">
        <f>COUNT(D28:M28)</f>
        <v/>
      </c>
      <c r="O28" s="6">
        <f>IF(COUNT(D28:M28)&lt;10,"",((D28-1)+(5-E28)+(F28-1)+(5-G28)+(H28-1)+(5-I28)+(J28-1)+(5-K28)+(L28-1)+(5-M28))*2.5)</f>
        <v/>
      </c>
      <c r="P28" s="6">
        <f>IF(COUNT(D28:M28)&lt;10,"",((D28-1)+(5-E28)+(F28-1)+(H28-1)+(5-I28)+(J28-1)+(5-K28)+(L28-1))*100/32)</f>
        <v/>
      </c>
      <c r="Q28" s="6">
        <f>IF(COUNT(D28:M28)&lt;10,"",((5-G28)+(5-M28))*100/8)</f>
        <v/>
      </c>
      <c r="R28" s="6">
        <f>IF(O28="","",IF(O28&lt;25,"Worst imaginable",IF(O28&lt;39,"Poor",IF(O28&lt;52,"OK",IF(O28&lt;73,"Good",IF(O28&lt;85,"Excellent","Best imaginable"))))))</f>
        <v/>
      </c>
      <c r="S28" s="6">
        <f>IF(O28="","",IF(O28&gt;=80.3,"A",IF(O28&gt;=74,"B",IF(O28&gt;=68,"C",IF(O28&gt;=51,"D","F")))))</f>
        <v/>
      </c>
    </row>
    <row r="29">
      <c r="A29" s="5" t="inlineStr">
        <is>
          <t>P28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6">
        <f>COUNT(D29:M29)</f>
        <v/>
      </c>
      <c r="O29" s="6">
        <f>IF(COUNT(D29:M29)&lt;10,"",((D29-1)+(5-E29)+(F29-1)+(5-G29)+(H29-1)+(5-I29)+(J29-1)+(5-K29)+(L29-1)+(5-M29))*2.5)</f>
        <v/>
      </c>
      <c r="P29" s="6">
        <f>IF(COUNT(D29:M29)&lt;10,"",((D29-1)+(5-E29)+(F29-1)+(H29-1)+(5-I29)+(J29-1)+(5-K29)+(L29-1))*100/32)</f>
        <v/>
      </c>
      <c r="Q29" s="6">
        <f>IF(COUNT(D29:M29)&lt;10,"",((5-G29)+(5-M29))*100/8)</f>
        <v/>
      </c>
      <c r="R29" s="6">
        <f>IF(O29="","",IF(O29&lt;25,"Worst imaginable",IF(O29&lt;39,"Poor",IF(O29&lt;52,"OK",IF(O29&lt;73,"Good",IF(O29&lt;85,"Excellent","Best imaginable"))))))</f>
        <v/>
      </c>
      <c r="S29" s="6">
        <f>IF(O29="","",IF(O29&gt;=80.3,"A",IF(O29&gt;=74,"B",IF(O29&gt;=68,"C",IF(O29&gt;=51,"D","F")))))</f>
        <v/>
      </c>
    </row>
    <row r="30">
      <c r="A30" s="5" t="inlineStr">
        <is>
          <t>P29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6">
        <f>COUNT(D30:M30)</f>
        <v/>
      </c>
      <c r="O30" s="6">
        <f>IF(COUNT(D30:M30)&lt;10,"",((D30-1)+(5-E30)+(F30-1)+(5-G30)+(H30-1)+(5-I30)+(J30-1)+(5-K30)+(L30-1)+(5-M30))*2.5)</f>
        <v/>
      </c>
      <c r="P30" s="6">
        <f>IF(COUNT(D30:M30)&lt;10,"",((D30-1)+(5-E30)+(F30-1)+(H30-1)+(5-I30)+(J30-1)+(5-K30)+(L30-1))*100/32)</f>
        <v/>
      </c>
      <c r="Q30" s="6">
        <f>IF(COUNT(D30:M30)&lt;10,"",((5-G30)+(5-M30))*100/8)</f>
        <v/>
      </c>
      <c r="R30" s="6">
        <f>IF(O30="","",IF(O30&lt;25,"Worst imaginable",IF(O30&lt;39,"Poor",IF(O30&lt;52,"OK",IF(O30&lt;73,"Good",IF(O30&lt;85,"Excellent","Best imaginable"))))))</f>
        <v/>
      </c>
      <c r="S30" s="6">
        <f>IF(O30="","",IF(O30&gt;=80.3,"A",IF(O30&gt;=74,"B",IF(O30&gt;=68,"C",IF(O30&gt;=51,"D","F")))))</f>
        <v/>
      </c>
    </row>
    <row r="31">
      <c r="A31" s="5" t="inlineStr">
        <is>
          <t>P30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6">
        <f>COUNT(D31:M31)</f>
        <v/>
      </c>
      <c r="O31" s="6">
        <f>IF(COUNT(D31:M31)&lt;10,"",((D31-1)+(5-E31)+(F31-1)+(5-G31)+(H31-1)+(5-I31)+(J31-1)+(5-K31)+(L31-1)+(5-M31))*2.5)</f>
        <v/>
      </c>
      <c r="P31" s="6">
        <f>IF(COUNT(D31:M31)&lt;10,"",((D31-1)+(5-E31)+(F31-1)+(H31-1)+(5-I31)+(J31-1)+(5-K31)+(L31-1))*100/32)</f>
        <v/>
      </c>
      <c r="Q31" s="6">
        <f>IF(COUNT(D31:M31)&lt;10,"",((5-G31)+(5-M31))*100/8)</f>
        <v/>
      </c>
      <c r="R31" s="6">
        <f>IF(O31="","",IF(O31&lt;25,"Worst imaginable",IF(O31&lt;39,"Poor",IF(O31&lt;52,"OK",IF(O31&lt;73,"Good",IF(O31&lt;85,"Excellent","Best imaginable"))))))</f>
        <v/>
      </c>
      <c r="S31" s="6">
        <f>IF(O31="","",IF(O31&gt;=80.3,"A",IF(O31&gt;=74,"B",IF(O31&gt;=68,"C",IF(O31&gt;=51,"D","F")))))</f>
        <v/>
      </c>
    </row>
    <row r="33">
      <c r="A33" s="7" t="inlineStr">
        <is>
          <t>Summary (all completed rows)</t>
        </is>
      </c>
    </row>
    <row r="34">
      <c r="A34" s="8" t="inlineStr">
        <is>
          <t>n</t>
        </is>
      </c>
      <c r="B34" s="9">
        <f>COUNT(O2:O31)</f>
        <v/>
      </c>
    </row>
    <row r="35">
      <c r="A35" s="8" t="inlineStr">
        <is>
          <t>Mean SUS</t>
        </is>
      </c>
      <c r="B35" s="9">
        <f>IFERROR(AVERAGE(O2:O31),"")</f>
        <v/>
      </c>
    </row>
    <row r="36">
      <c r="A36" s="8" t="inlineStr">
        <is>
          <t>SD</t>
        </is>
      </c>
      <c r="B36" s="9">
        <f>IFERROR(STDEV(O2:O31),"")</f>
        <v/>
      </c>
    </row>
    <row r="37">
      <c r="A37" s="8" t="inlineStr">
        <is>
          <t>Median</t>
        </is>
      </c>
      <c r="B37" s="9">
        <f>IFERROR(MEDIAN(O2:O31),"")</f>
        <v/>
      </c>
    </row>
    <row r="38">
      <c r="A38" s="8" t="inlineStr">
        <is>
          <t>Min</t>
        </is>
      </c>
      <c r="B38" s="9">
        <f>IFERROR(MIN(O2:O31),"")</f>
        <v/>
      </c>
    </row>
    <row r="39">
      <c r="A39" s="8" t="inlineStr">
        <is>
          <t>Max</t>
        </is>
      </c>
      <c r="B39" s="9">
        <f>IFERROR(MAX(O2:O31),"")</f>
        <v/>
      </c>
    </row>
    <row r="40">
      <c r="A40" s="8" t="inlineStr">
        <is>
          <t>Mean Usability</t>
        </is>
      </c>
      <c r="B40" s="9">
        <f>IFERROR(AVERAGE(P2:P31),"")</f>
        <v/>
      </c>
    </row>
    <row r="41">
      <c r="A41" s="8" t="inlineStr">
        <is>
          <t>Mean Learnability</t>
        </is>
      </c>
      <c r="B41" s="9">
        <f>IFERROR(AVERAGE(Q2:Q31),"")</f>
        <v/>
      </c>
    </row>
  </sheetData>
  <conditionalFormatting sqref="O2:O31">
    <cfRule type="colorScale" priority="1">
      <colorScale>
        <cfvo type="num" val="0"/>
        <cfvo type="num" val="68"/>
        <cfvo type="num" val="100"/>
        <color rgb="00F8696B"/>
        <color rgb="00FFEB84"/>
        <color rgb="0063BE7B"/>
      </colorScale>
    </cfRule>
  </conditionalFormatting>
  <dataValidations count="2">
    <dataValidation sqref="B2:B31" showDropDown="0" showInputMessage="0" showErrorMessage="0" allowBlank="1" type="list">
      <formula1>"E1 Grid accuracy,E2 Fixation stability,E3 Static AAC,E4 Predictive AAC,Overall session"</formula1>
    </dataValidation>
    <dataValidation sqref="D2:D31 E2:E31 F2:F31 G2:G31 H2:H31 I2:I31 J2:J31 K2:K31 L2:L31 M2:M31" showDropDown="0" showInputMessage="0" showErrorMessage="1" allowBlank="1" errorTitle="Invalid response" error="SUS responses must be a whole number from 1 (strongly disagree) to 5 (strongly agree).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8" customWidth="1" min="2" max="2"/>
    <col width="12" customWidth="1" min="3" max="3"/>
    <col width="22" customWidth="1" min="4" max="4"/>
    <col width="14" customWidth="1" min="5" max="5"/>
  </cols>
  <sheetData>
    <row r="1" ht="24" customHeight="1">
      <c r="A1" s="4" t="inlineStr">
        <is>
          <t>Item</t>
        </is>
      </c>
      <c r="B1" s="4" t="inlineStr">
        <is>
          <t>Statement</t>
        </is>
      </c>
      <c r="C1" s="4" t="inlineStr">
        <is>
          <t>Polarity</t>
        </is>
      </c>
      <c r="D1" s="4" t="inlineStr">
        <is>
          <t>Scoring rule</t>
        </is>
      </c>
      <c r="E1" s="4" t="inlineStr">
        <is>
          <t>Sub-scale</t>
        </is>
      </c>
    </row>
    <row r="2">
      <c r="A2" s="10" t="n"/>
      <c r="B2" s="10" t="n"/>
      <c r="C2" s="10" t="n"/>
      <c r="D2" s="10" t="n"/>
      <c r="E2" s="10" t="n"/>
    </row>
    <row r="3">
      <c r="A3" s="10" t="inlineStr">
        <is>
          <t>Q1</t>
        </is>
      </c>
      <c r="B3" s="10" t="inlineStr">
        <is>
          <t>I think that I would like to use this gaze-based communication system frequently.</t>
        </is>
      </c>
      <c r="C3" s="10" t="inlineStr">
        <is>
          <t>positive</t>
        </is>
      </c>
      <c r="D3" s="10" t="inlineStr">
        <is>
          <t>response - 1</t>
        </is>
      </c>
      <c r="E3" s="10" t="inlineStr">
        <is>
          <t>Usability</t>
        </is>
      </c>
    </row>
    <row r="4">
      <c r="A4" s="10" t="inlineStr">
        <is>
          <t>Q2</t>
        </is>
      </c>
      <c r="B4" s="10" t="inlineStr">
        <is>
          <t>I found the system unnecessarily complex.</t>
        </is>
      </c>
      <c r="C4" s="10" t="inlineStr">
        <is>
          <t>negative</t>
        </is>
      </c>
      <c r="D4" s="10" t="inlineStr">
        <is>
          <t>5 - response</t>
        </is>
      </c>
      <c r="E4" s="10" t="inlineStr">
        <is>
          <t>Usability</t>
        </is>
      </c>
    </row>
    <row r="5">
      <c r="A5" s="10" t="inlineStr">
        <is>
          <t>Q3</t>
        </is>
      </c>
      <c r="B5" s="10" t="inlineStr">
        <is>
          <t>I thought the system was easy to use.</t>
        </is>
      </c>
      <c r="C5" s="10" t="inlineStr">
        <is>
          <t>positive</t>
        </is>
      </c>
      <c r="D5" s="10" t="inlineStr">
        <is>
          <t>response - 1</t>
        </is>
      </c>
      <c r="E5" s="10" t="inlineStr">
        <is>
          <t>Usability</t>
        </is>
      </c>
    </row>
    <row r="6">
      <c r="A6" s="10" t="inlineStr">
        <is>
          <t>Q4</t>
        </is>
      </c>
      <c r="B6" s="10" t="inlineStr">
        <is>
          <t>I think that I would need the support of a technical person to be able to use this system.</t>
        </is>
      </c>
      <c r="C6" s="10" t="inlineStr">
        <is>
          <t>negative</t>
        </is>
      </c>
      <c r="D6" s="10" t="inlineStr">
        <is>
          <t>5 - response</t>
        </is>
      </c>
      <c r="E6" s="10" t="inlineStr">
        <is>
          <t>Learnability</t>
        </is>
      </c>
    </row>
    <row r="7">
      <c r="A7" s="10" t="inlineStr">
        <is>
          <t>Q5</t>
        </is>
      </c>
      <c r="B7" s="10" t="inlineStr">
        <is>
          <t>I found the various functions in this system were well integrated.</t>
        </is>
      </c>
      <c r="C7" s="10" t="inlineStr">
        <is>
          <t>positive</t>
        </is>
      </c>
      <c r="D7" s="10" t="inlineStr">
        <is>
          <t>response - 1</t>
        </is>
      </c>
      <c r="E7" s="10" t="inlineStr">
        <is>
          <t>Usability</t>
        </is>
      </c>
    </row>
    <row r="8">
      <c r="A8" s="10" t="inlineStr">
        <is>
          <t>Q6</t>
        </is>
      </c>
      <c r="B8" s="10" t="inlineStr">
        <is>
          <t>I thought there was too much inconsistency in this system.</t>
        </is>
      </c>
      <c r="C8" s="10" t="inlineStr">
        <is>
          <t>negative</t>
        </is>
      </c>
      <c r="D8" s="10" t="inlineStr">
        <is>
          <t>5 - response</t>
        </is>
      </c>
      <c r="E8" s="10" t="inlineStr">
        <is>
          <t>Usability</t>
        </is>
      </c>
    </row>
    <row r="9">
      <c r="A9" s="10" t="inlineStr">
        <is>
          <t>Q7</t>
        </is>
      </c>
      <c r="B9" s="10" t="inlineStr">
        <is>
          <t>I would imagine that most people would learn to use this system very quickly.</t>
        </is>
      </c>
      <c r="C9" s="10" t="inlineStr">
        <is>
          <t>positive</t>
        </is>
      </c>
      <c r="D9" s="10" t="inlineStr">
        <is>
          <t>response - 1</t>
        </is>
      </c>
      <c r="E9" s="10" t="inlineStr">
        <is>
          <t>Usability</t>
        </is>
      </c>
    </row>
    <row r="10">
      <c r="A10" s="10" t="inlineStr">
        <is>
          <t>Q8</t>
        </is>
      </c>
      <c r="B10" s="10" t="inlineStr">
        <is>
          <t>I found the system very cumbersome to use.</t>
        </is>
      </c>
      <c r="C10" s="10" t="inlineStr">
        <is>
          <t>negative</t>
        </is>
      </c>
      <c r="D10" s="10" t="inlineStr">
        <is>
          <t>5 - response</t>
        </is>
      </c>
      <c r="E10" s="10" t="inlineStr">
        <is>
          <t>Usability</t>
        </is>
      </c>
    </row>
    <row r="11">
      <c r="A11" s="10" t="inlineStr">
        <is>
          <t>Q9</t>
        </is>
      </c>
      <c r="B11" s="10" t="inlineStr">
        <is>
          <t>I felt very confident using the system.</t>
        </is>
      </c>
      <c r="C11" s="10" t="inlineStr">
        <is>
          <t>positive</t>
        </is>
      </c>
      <c r="D11" s="10" t="inlineStr">
        <is>
          <t>response - 1</t>
        </is>
      </c>
      <c r="E11" s="10" t="inlineStr">
        <is>
          <t>Usability</t>
        </is>
      </c>
    </row>
    <row r="12">
      <c r="A12" s="10" t="inlineStr">
        <is>
          <t>Q10</t>
        </is>
      </c>
      <c r="B12" s="10" t="inlineStr">
        <is>
          <t>I needed to learn a lot of things before I could get going with this system.</t>
        </is>
      </c>
      <c r="C12" s="10" t="inlineStr">
        <is>
          <t>negative</t>
        </is>
      </c>
      <c r="D12" s="10" t="inlineStr">
        <is>
          <t>5 - response</t>
        </is>
      </c>
      <c r="E12" s="10" t="inlineStr">
        <is>
          <t>Learnability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System Usability Scale — participant response sheet</t>
        </is>
      </c>
    </row>
    <row r="2">
      <c r="A2" s="12" t="inlineStr">
        <is>
          <t>Participant ID: ______________     Condition: ______________     Date: ______________</t>
        </is>
      </c>
    </row>
    <row r="4">
      <c r="A4" s="13" t="inlineStr">
        <is>
          <t>Mark one box per row.</t>
        </is>
      </c>
    </row>
    <row r="5" ht="52" customHeight="1">
      <c r="A5" s="4" t="inlineStr">
        <is>
          <t>Statement</t>
        </is>
      </c>
      <c r="B5" s="4" t="inlineStr">
        <is>
          <t>1
Strongly
disagree</t>
        </is>
      </c>
      <c r="C5" s="4" t="inlineStr">
        <is>
          <t>2</t>
        </is>
      </c>
      <c r="D5" s="4" t="inlineStr">
        <is>
          <t>3
Neutral</t>
        </is>
      </c>
      <c r="E5" s="4" t="inlineStr">
        <is>
          <t>4</t>
        </is>
      </c>
      <c r="F5" s="4" t="inlineStr">
        <is>
          <t>5
Strongly
agree</t>
        </is>
      </c>
    </row>
    <row r="6" ht="32" customHeight="1">
      <c r="A6" s="10" t="inlineStr">
        <is>
          <t>1. I think that I would like to use this gaze-based communication system frequently.</t>
        </is>
      </c>
      <c r="B6" s="5" t="n"/>
      <c r="C6" s="5" t="n"/>
      <c r="D6" s="5" t="n"/>
      <c r="E6" s="5" t="n"/>
      <c r="F6" s="5" t="n"/>
    </row>
    <row r="7" ht="32" customHeight="1">
      <c r="A7" s="10" t="inlineStr">
        <is>
          <t>2. I found the system unnecessarily complex.</t>
        </is>
      </c>
      <c r="B7" s="5" t="n"/>
      <c r="C7" s="5" t="n"/>
      <c r="D7" s="5" t="n"/>
      <c r="E7" s="5" t="n"/>
      <c r="F7" s="5" t="n"/>
    </row>
    <row r="8" ht="32" customHeight="1">
      <c r="A8" s="10" t="inlineStr">
        <is>
          <t>3. I thought the system was easy to use.</t>
        </is>
      </c>
      <c r="B8" s="5" t="n"/>
      <c r="C8" s="5" t="n"/>
      <c r="D8" s="5" t="n"/>
      <c r="E8" s="5" t="n"/>
      <c r="F8" s="5" t="n"/>
    </row>
    <row r="9" ht="32" customHeight="1">
      <c r="A9" s="10" t="inlineStr">
        <is>
          <t>4. I think that I would need the support of a technical person to be able to use this system.</t>
        </is>
      </c>
      <c r="B9" s="5" t="n"/>
      <c r="C9" s="5" t="n"/>
      <c r="D9" s="5" t="n"/>
      <c r="E9" s="5" t="n"/>
      <c r="F9" s="5" t="n"/>
    </row>
    <row r="10" ht="32" customHeight="1">
      <c r="A10" s="10" t="inlineStr">
        <is>
          <t>5. I found the various functions in this system were well integrated.</t>
        </is>
      </c>
      <c r="B10" s="5" t="n"/>
      <c r="C10" s="5" t="n"/>
      <c r="D10" s="5" t="n"/>
      <c r="E10" s="5" t="n"/>
      <c r="F10" s="5" t="n"/>
    </row>
    <row r="11" ht="32" customHeight="1">
      <c r="A11" s="10" t="inlineStr">
        <is>
          <t>6. I thought there was too much inconsistency in this system.</t>
        </is>
      </c>
      <c r="B11" s="5" t="n"/>
      <c r="C11" s="5" t="n"/>
      <c r="D11" s="5" t="n"/>
      <c r="E11" s="5" t="n"/>
      <c r="F11" s="5" t="n"/>
    </row>
    <row r="12" ht="32" customHeight="1">
      <c r="A12" s="10" t="inlineStr">
        <is>
          <t>7. I would imagine that most people would learn to use this system very quickly.</t>
        </is>
      </c>
      <c r="B12" s="5" t="n"/>
      <c r="C12" s="5" t="n"/>
      <c r="D12" s="5" t="n"/>
      <c r="E12" s="5" t="n"/>
      <c r="F12" s="5" t="n"/>
    </row>
    <row r="13" ht="32" customHeight="1">
      <c r="A13" s="10" t="inlineStr">
        <is>
          <t>8. I found the system very cumbersome to use.</t>
        </is>
      </c>
      <c r="B13" s="5" t="n"/>
      <c r="C13" s="5" t="n"/>
      <c r="D13" s="5" t="n"/>
      <c r="E13" s="5" t="n"/>
      <c r="F13" s="5" t="n"/>
    </row>
    <row r="14" ht="32" customHeight="1">
      <c r="A14" s="10" t="inlineStr">
        <is>
          <t>9. I felt very confident using the system.</t>
        </is>
      </c>
      <c r="B14" s="5" t="n"/>
      <c r="C14" s="5" t="n"/>
      <c r="D14" s="5" t="n"/>
      <c r="E14" s="5" t="n"/>
      <c r="F14" s="5" t="n"/>
    </row>
    <row r="15" ht="32" customHeight="1">
      <c r="A15" s="10" t="inlineStr">
        <is>
          <t>10. I needed to learn a lot of things before I could get going with this system.</t>
        </is>
      </c>
      <c r="B15" s="5" t="n"/>
      <c r="C15" s="5" t="n"/>
      <c r="D15" s="5" t="n"/>
      <c r="E15" s="5" t="n"/>
      <c r="F15" s="5" t="n"/>
    </row>
    <row r="17">
      <c r="A17" s="8" t="inlineStr">
        <is>
          <t>Comments:</t>
        </is>
      </c>
    </row>
    <row r="18">
      <c r="A18" s="14" t="n"/>
      <c r="B18" s="14" t="n"/>
      <c r="C18" s="14" t="n"/>
      <c r="D18" s="14" t="n"/>
      <c r="E18" s="14" t="n"/>
      <c r="F18" s="14" t="n"/>
    </row>
    <row r="19">
      <c r="A19" s="14" t="n"/>
      <c r="B19" s="14" t="n"/>
      <c r="C19" s="14" t="n"/>
      <c r="D19" s="14" t="n"/>
      <c r="E19" s="14" t="n"/>
      <c r="F19" s="14" t="n"/>
    </row>
    <row r="20">
      <c r="A20" s="14" t="n"/>
      <c r="B20" s="14" t="n"/>
      <c r="C20" s="14" t="n"/>
      <c r="D20" s="14" t="n"/>
      <c r="E20" s="14" t="n"/>
      <c r="F20" s="14" t="n"/>
    </row>
    <row r="21">
      <c r="A21" s="14" t="n"/>
      <c r="B21" s="14" t="n"/>
      <c r="C21" s="14" t="n"/>
      <c r="D21" s="14" t="n"/>
      <c r="E21" s="14" t="n"/>
      <c r="F21" s="14" t="n"/>
    </row>
  </sheetData>
  <printOptions horizontalCentered="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2026-09-08T17:43:06Z</dcterms:created>
  <dcterms:modified xmlns:dcterms="http://purl.org/dc/terms/" xmlns:xsi="http://www.w3.org/2001/XMLSchema-instance" xsi:type="dcterms:W3CDTF">2026-09-08T17:43:06Z</dcterms:modified>
</cp:coreProperties>
</file>