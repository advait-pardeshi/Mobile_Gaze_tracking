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ubscale_Definitions" sheetId="2" state="visible" r:id="rId2"/>
    <sheet xmlns:r="http://schemas.openxmlformats.org/officeDocument/2006/relationships" name="TLX_Ratings" sheetId="3" state="visible" r:id="rId3"/>
    <sheet xmlns:r="http://schemas.openxmlformats.org/officeDocument/2006/relationships" name="Pairwise_Weights" sheetId="4" state="visible" r:id="rId4"/>
    <sheet xmlns:r="http://schemas.openxmlformats.org/officeDocument/2006/relationships" name="Weighted_Scores" sheetId="5" state="visible" r:id="rId5"/>
    <sheet xmlns:r="http://schemas.openxmlformats.org/officeDocument/2006/relationships" name="Paper_For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9"/>
      <sz val="15"/>
    </font>
    <font>
      <b val="1"/>
      <color rgb="001F4E79"/>
      <sz val="12"/>
    </font>
    <font>
      <b val="1"/>
      <color rgb="00FFFFFF"/>
      <sz val="11"/>
    </font>
    <font>
      <b val="1"/>
      <color rgb="00C00000"/>
    </font>
    <font>
      <i val="1"/>
    </font>
    <font>
      <b val="1"/>
    </font>
    <font>
      <b val="1"/>
      <color rgb="001F4E79"/>
      <sz val="14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0" fillId="3" borderId="1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1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30"/>
  <sheetViews>
    <sheetView workbookViewId="0">
      <selection activeCell="A1" sqref="A1"/>
    </sheetView>
  </sheetViews>
  <sheetFormatPr baseColWidth="8" defaultRowHeight="15"/>
  <cols>
    <col width="4" customWidth="1" min="1" max="1"/>
    <col width="112" customWidth="1" min="2" max="2"/>
  </cols>
  <sheetData>
    <row r="1">
      <c r="B1" s="1" t="inlineStr">
        <is>
          <t>NASA Task Load Index (NASA-TLX)</t>
        </is>
      </c>
    </row>
    <row r="2">
      <c r="B2" s="2" t="inlineStr"/>
    </row>
    <row r="3">
      <c r="B3" s="3" t="inlineStr">
        <is>
          <t>What it measures</t>
        </is>
      </c>
    </row>
    <row r="4">
      <c r="B4" s="2" t="inlineStr">
        <is>
          <t>Perceived workload on six sub-scales: Mental Demand, Physical Demand, Temporal Demand, Performance, Effort and Frustration.</t>
        </is>
      </c>
    </row>
    <row r="5">
      <c r="B5" s="2" t="inlineStr"/>
    </row>
    <row r="6">
      <c r="B6" s="3" t="inlineStr">
        <is>
          <t>Administration</t>
        </is>
      </c>
    </row>
    <row r="7">
      <c r="B7" s="2" t="inlineStr">
        <is>
          <t>1. Read the six sub-scale definitions aloud (Subscale_Definitions sheet) before the first administration. Participants must understand Performance is rated Perfect -&gt; Failure, so a HIGH number means WORSE performance.</t>
        </is>
      </c>
    </row>
    <row r="8">
      <c r="B8" s="2" t="inlineStr">
        <is>
          <t>2. Immediately after each task/condition, collect the six ratings on a 0-100 line marked in 5-point steps (21 tick marks).</t>
        </is>
      </c>
    </row>
    <row r="9">
      <c r="B9" s="2" t="inlineStr">
        <is>
          <t>3. Collect the 15 pairwise weight comparisons ONCE per participant, after all conditions, unless the tasks differ so much that per-condition weights are justified. Present each pair and ask: 'Which contributed more to the workload of this task?'</t>
        </is>
      </c>
    </row>
    <row r="10">
      <c r="B10" s="2" t="inlineStr">
        <is>
          <t>4. There is no right answer; do not let the participant see their earlier ratings.</t>
        </is>
      </c>
    </row>
    <row r="11">
      <c r="B11" s="2" t="inlineStr"/>
    </row>
    <row r="12">
      <c r="B12" s="3" t="inlineStr">
        <is>
          <t>Scoring</t>
        </is>
      </c>
    </row>
    <row r="13">
      <c r="B13" s="2" t="inlineStr">
        <is>
          <t>Weight of a sub-scale = number of times it was chosen across the 15 pairwise comparisons (0-5). The six weights must sum to 15.</t>
        </is>
      </c>
    </row>
    <row r="14">
      <c r="B14" s="2" t="inlineStr">
        <is>
          <t>Weighted (adjusted) TLX = SUM(rating_i x weight_i) / 15, on 0-100.</t>
        </is>
      </c>
    </row>
    <row r="15">
      <c r="B15" s="2" t="inlineStr">
        <is>
          <t>Raw TLX (RTLX) = unweighted mean of the six ratings. Widely used and typically correlates &gt;0.95 with the weighted score; report which one you used.</t>
        </is>
      </c>
    </row>
    <row r="16">
      <c r="B16" s="2" t="inlineStr">
        <is>
          <t>Both are computed automatically in the Weighted_Scores sheet.</t>
        </is>
      </c>
    </row>
    <row r="17">
      <c r="B17" s="2" t="inlineStr"/>
    </row>
    <row r="18">
      <c r="B18" s="3" t="inlineStr">
        <is>
          <t>Interpretation (Hart, 2006; Grier, 2015 norms)</t>
        </is>
      </c>
    </row>
    <row r="19">
      <c r="B19" s="2" t="inlineStr">
        <is>
          <t>0-9 Very low | 10-29 Low | 30-49 Medium | 50-79 High | 80-100 Very high.</t>
        </is>
      </c>
    </row>
    <row r="20">
      <c r="B20" s="2" t="inlineStr">
        <is>
          <t>Interpret against task-type norms rather than in absolute terms; report per-condition means, not a single grand mean.</t>
        </is>
      </c>
    </row>
    <row r="21">
      <c r="B21" s="2" t="inlineStr"/>
    </row>
    <row r="22">
      <c r="B22" s="3" t="inlineStr">
        <is>
          <t>Data-entry order</t>
        </is>
      </c>
    </row>
    <row r="23">
      <c r="B23" s="2" t="inlineStr">
        <is>
          <t>Sheet 'TLX_Ratings'    -&gt; the six 0-100 ratings, one row per participant x condition.</t>
        </is>
      </c>
    </row>
    <row r="24">
      <c r="B24" s="2" t="inlineStr">
        <is>
          <t>Sheet 'Pairwise_Weights' -&gt; the 15 forced choices; weights and a sum check are computed for you.</t>
        </is>
      </c>
    </row>
    <row r="25">
      <c r="B25" s="2" t="inlineStr">
        <is>
          <t>Sheet 'Weighted_Scores'  -&gt; pulls both together; nothing to type here.</t>
        </is>
      </c>
    </row>
    <row r="26">
      <c r="B26" s="2" t="inlineStr">
        <is>
          <t>Sheet 'Paper_Form'      -&gt; print this for in-session collection.</t>
        </is>
      </c>
    </row>
    <row r="27">
      <c r="B27" s="2" t="inlineStr"/>
    </row>
    <row r="28">
      <c r="B28" s="3" t="inlineStr">
        <is>
          <t>References</t>
        </is>
      </c>
    </row>
    <row r="29">
      <c r="B29" s="2" t="inlineStr">
        <is>
          <t>Hart, S. G., &amp; Staveland, L. E. (1988). Development of NASA-TLX. In Human Mental Workload, 139-183.</t>
        </is>
      </c>
    </row>
    <row r="30">
      <c r="B30" s="2" t="inlineStr">
        <is>
          <t>Hart, S. G. (2006). NASA-Task Load Index (NASA-TLX); 20 years later. HFES Annual Meeting, 904-908.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2" customWidth="1" min="3" max="3"/>
    <col width="92" customWidth="1" min="4" max="4"/>
  </cols>
  <sheetData>
    <row r="1" ht="24" customHeight="1">
      <c r="A1" s="4" t="inlineStr">
        <is>
          <t>Code</t>
        </is>
      </c>
      <c r="B1" s="4" t="inlineStr">
        <is>
          <t>Sub-scale</t>
        </is>
      </c>
      <c r="C1" s="4" t="inlineStr">
        <is>
          <t>Endpoints</t>
        </is>
      </c>
      <c r="D1" s="4" t="inlineStr">
        <is>
          <t>Definition read to the participant</t>
        </is>
      </c>
    </row>
    <row r="2" ht="46" customHeight="1">
      <c r="A2" s="5" t="n"/>
      <c r="B2" s="5" t="n"/>
      <c r="C2" s="5" t="n"/>
      <c r="D2" s="5" t="n"/>
    </row>
    <row r="3" ht="46" customHeight="1">
      <c r="A3" s="5" t="inlineStr">
        <is>
          <t>MD</t>
        </is>
      </c>
      <c r="B3" s="5" t="inlineStr">
        <is>
          <t>Mental Demand</t>
        </is>
      </c>
      <c r="C3" s="5" t="inlineStr">
        <is>
          <t>Very Low  ...  Very High</t>
        </is>
      </c>
      <c r="D3" s="5" t="inlineStr">
        <is>
          <t>How much mental and perceptual activity was required (thinking, deciding, searching, remembering)? Was the task easy or demanding, simple or complex?</t>
        </is>
      </c>
    </row>
    <row r="4" ht="46" customHeight="1">
      <c r="A4" s="5" t="inlineStr">
        <is>
          <t>PD</t>
        </is>
      </c>
      <c r="B4" s="5" t="inlineStr">
        <is>
          <t>Physical Demand</t>
        </is>
      </c>
      <c r="C4" s="5" t="inlineStr">
        <is>
          <t>Very Low  ...  Very High</t>
        </is>
      </c>
      <c r="D4" s="5" t="inlineStr">
        <is>
          <t>How much physical activity was required (holding the phone, head and neck posture, holding a fixation)? Was the task restful or laborious?</t>
        </is>
      </c>
    </row>
    <row r="5" ht="46" customHeight="1">
      <c r="A5" s="5" t="inlineStr">
        <is>
          <t>TD</t>
        </is>
      </c>
      <c r="B5" s="5" t="inlineStr">
        <is>
          <t>Temporal Demand</t>
        </is>
      </c>
      <c r="C5" s="5" t="inlineStr">
        <is>
          <t>Very Low  ...  Very High</t>
        </is>
      </c>
      <c r="D5" s="5" t="inlineStr">
        <is>
          <t>How much time pressure did you feel due to the rate at which the task or task elements occurred? Was the pace slow and leisurely or rapid and frantic?</t>
        </is>
      </c>
    </row>
    <row r="6" ht="46" customHeight="1">
      <c r="A6" s="5" t="inlineStr">
        <is>
          <t>PE</t>
        </is>
      </c>
      <c r="B6" s="5" t="inlineStr">
        <is>
          <t>Performance</t>
        </is>
      </c>
      <c r="C6" s="5" t="inlineStr">
        <is>
          <t>Perfect  ...  Failure</t>
        </is>
      </c>
      <c r="D6" s="5" t="inlineStr">
        <is>
          <t>How successful do you think you were in accomplishing the goals of the task? How satisfied were you with your performance?</t>
        </is>
      </c>
    </row>
    <row r="7" ht="46" customHeight="1">
      <c r="A7" s="5" t="inlineStr">
        <is>
          <t>EF</t>
        </is>
      </c>
      <c r="B7" s="5" t="inlineStr">
        <is>
          <t>Effort</t>
        </is>
      </c>
      <c r="C7" s="5" t="inlineStr">
        <is>
          <t>Very Low  ...  Very High</t>
        </is>
      </c>
      <c r="D7" s="5" t="inlineStr">
        <is>
          <t>How hard did you have to work (mentally and physically) to accomplish your level of performance?</t>
        </is>
      </c>
    </row>
    <row r="8" ht="46" customHeight="1">
      <c r="A8" s="5" t="inlineStr">
        <is>
          <t>FR</t>
        </is>
      </c>
      <c r="B8" s="5" t="inlineStr">
        <is>
          <t>Frustration</t>
        </is>
      </c>
      <c r="C8" s="5" t="inlineStr">
        <is>
          <t>Very Low  ...  Very High</t>
        </is>
      </c>
      <c r="D8" s="5" t="inlineStr">
        <is>
          <t>How insecure, discouraged, irritated, stressed and annoyed versus secure, gratified, content, relaxed and complacent did you feel during the task?</t>
        </is>
      </c>
    </row>
    <row r="10">
      <c r="B10" s="6" t="inlineStr">
        <is>
          <t>NOTE: Performance is reverse-anchored (0 = Perfect, 100 = Failure). Do not flip it during entry; the scoring already treats a high value as poor performance.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0" customWidth="1" min="10" max="10"/>
    <col width="15" customWidth="1" min="11" max="11"/>
  </cols>
  <sheetData>
    <row r="1" ht="48" customHeight="1">
      <c r="A1" s="4" t="inlineStr">
        <is>
          <t>Participant ID</t>
        </is>
      </c>
      <c r="B1" s="4" t="inlineStr">
        <is>
          <t>Condition</t>
        </is>
      </c>
      <c r="C1" s="4" t="inlineStr">
        <is>
          <t>Date</t>
        </is>
      </c>
      <c r="D1" s="4" t="inlineStr">
        <is>
          <t>MD — Mental Demand
(0-100)</t>
        </is>
      </c>
      <c r="E1" s="4" t="inlineStr">
        <is>
          <t>PD — Physical Demand
(0-100)</t>
        </is>
      </c>
      <c r="F1" s="4" t="inlineStr">
        <is>
          <t>TD — Temporal Demand
(0-100)</t>
        </is>
      </c>
      <c r="G1" s="4" t="inlineStr">
        <is>
          <t>PE — Performance
(0-100)</t>
        </is>
      </c>
      <c r="H1" s="4" t="inlineStr">
        <is>
          <t>EF — Effort
(0-100)</t>
        </is>
      </c>
      <c r="I1" s="4" t="inlineStr">
        <is>
          <t>FR — Frustration
(0-100)</t>
        </is>
      </c>
      <c r="J1" s="4" t="inlineStr">
        <is>
          <t>Complete</t>
        </is>
      </c>
      <c r="K1" s="4" t="inlineStr">
        <is>
          <t>Raw TLX (RTLX)</t>
        </is>
      </c>
    </row>
    <row r="2">
      <c r="A2" s="7" t="inlineStr">
        <is>
          <t>P01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8">
        <f>COUNT(D2:I2)</f>
        <v/>
      </c>
      <c r="K2" s="8">
        <f>IF(COUNT(D2:I2)&lt;6,"",AVERAGE(D2:I2))</f>
        <v/>
      </c>
    </row>
    <row r="3">
      <c r="A3" s="7" t="inlineStr">
        <is>
          <t>P02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8">
        <f>COUNT(D3:I3)</f>
        <v/>
      </c>
      <c r="K3" s="8">
        <f>IF(COUNT(D3:I3)&lt;6,"",AVERAGE(D3:I3))</f>
        <v/>
      </c>
    </row>
    <row r="4">
      <c r="A4" s="7" t="inlineStr">
        <is>
          <t>P03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8">
        <f>COUNT(D4:I4)</f>
        <v/>
      </c>
      <c r="K4" s="8">
        <f>IF(COUNT(D4:I4)&lt;6,"",AVERAGE(D4:I4))</f>
        <v/>
      </c>
    </row>
    <row r="5">
      <c r="A5" s="7" t="inlineStr">
        <is>
          <t>P04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8">
        <f>COUNT(D5:I5)</f>
        <v/>
      </c>
      <c r="K5" s="8">
        <f>IF(COUNT(D5:I5)&lt;6,"",AVERAGE(D5:I5))</f>
        <v/>
      </c>
    </row>
    <row r="6">
      <c r="A6" s="7" t="inlineStr">
        <is>
          <t>P05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8">
        <f>COUNT(D6:I6)</f>
        <v/>
      </c>
      <c r="K6" s="8">
        <f>IF(COUNT(D6:I6)&lt;6,"",AVERAGE(D6:I6))</f>
        <v/>
      </c>
    </row>
    <row r="7">
      <c r="A7" s="7" t="inlineStr">
        <is>
          <t>P06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8">
        <f>COUNT(D7:I7)</f>
        <v/>
      </c>
      <c r="K7" s="8">
        <f>IF(COUNT(D7:I7)&lt;6,"",AVERAGE(D7:I7))</f>
        <v/>
      </c>
    </row>
    <row r="8">
      <c r="A8" s="7" t="inlineStr">
        <is>
          <t>P07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8">
        <f>COUNT(D8:I8)</f>
        <v/>
      </c>
      <c r="K8" s="8">
        <f>IF(COUNT(D8:I8)&lt;6,"",AVERAGE(D8:I8))</f>
        <v/>
      </c>
    </row>
    <row r="9">
      <c r="A9" s="7" t="inlineStr">
        <is>
          <t>P08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8">
        <f>COUNT(D9:I9)</f>
        <v/>
      </c>
      <c r="K9" s="8">
        <f>IF(COUNT(D9:I9)&lt;6,"",AVERAGE(D9:I9))</f>
        <v/>
      </c>
    </row>
    <row r="10">
      <c r="A10" s="7" t="inlineStr">
        <is>
          <t>P09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8">
        <f>COUNT(D10:I10)</f>
        <v/>
      </c>
      <c r="K10" s="8">
        <f>IF(COUNT(D10:I10)&lt;6,"",AVERAGE(D10:I10))</f>
        <v/>
      </c>
    </row>
    <row r="11">
      <c r="A11" s="7" t="inlineStr">
        <is>
          <t>P10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8">
        <f>COUNT(D11:I11)</f>
        <v/>
      </c>
      <c r="K11" s="8">
        <f>IF(COUNT(D11:I11)&lt;6,"",AVERAGE(D11:I11))</f>
        <v/>
      </c>
    </row>
    <row r="12">
      <c r="A12" s="7" t="inlineStr">
        <is>
          <t>P11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8">
        <f>COUNT(D12:I12)</f>
        <v/>
      </c>
      <c r="K12" s="8">
        <f>IF(COUNT(D12:I12)&lt;6,"",AVERAGE(D12:I12))</f>
        <v/>
      </c>
    </row>
    <row r="13">
      <c r="A13" s="7" t="inlineStr">
        <is>
          <t>P12</t>
        </is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8">
        <f>COUNT(D13:I13)</f>
        <v/>
      </c>
      <c r="K13" s="8">
        <f>IF(COUNT(D13:I13)&lt;6,"",AVERAGE(D13:I13))</f>
        <v/>
      </c>
    </row>
    <row r="14">
      <c r="A14" s="7" t="inlineStr">
        <is>
          <t>P13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8">
        <f>COUNT(D14:I14)</f>
        <v/>
      </c>
      <c r="K14" s="8">
        <f>IF(COUNT(D14:I14)&lt;6,"",AVERAGE(D14:I14))</f>
        <v/>
      </c>
    </row>
    <row r="15">
      <c r="A15" s="7" t="inlineStr">
        <is>
          <t>P14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8">
        <f>COUNT(D15:I15)</f>
        <v/>
      </c>
      <c r="K15" s="8">
        <f>IF(COUNT(D15:I15)&lt;6,"",AVERAGE(D15:I15))</f>
        <v/>
      </c>
    </row>
    <row r="16">
      <c r="A16" s="7" t="inlineStr">
        <is>
          <t>P15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8">
        <f>COUNT(D16:I16)</f>
        <v/>
      </c>
      <c r="K16" s="8">
        <f>IF(COUNT(D16:I16)&lt;6,"",AVERAGE(D16:I16))</f>
        <v/>
      </c>
    </row>
    <row r="17">
      <c r="A17" s="7" t="inlineStr">
        <is>
          <t>P16</t>
        </is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8">
        <f>COUNT(D17:I17)</f>
        <v/>
      </c>
      <c r="K17" s="8">
        <f>IF(COUNT(D17:I17)&lt;6,"",AVERAGE(D17:I17))</f>
        <v/>
      </c>
    </row>
    <row r="18">
      <c r="A18" s="7" t="inlineStr">
        <is>
          <t>P17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8">
        <f>COUNT(D18:I18)</f>
        <v/>
      </c>
      <c r="K18" s="8">
        <f>IF(COUNT(D18:I18)&lt;6,"",AVERAGE(D18:I18))</f>
        <v/>
      </c>
    </row>
    <row r="19">
      <c r="A19" s="7" t="inlineStr">
        <is>
          <t>P18</t>
        </is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8">
        <f>COUNT(D19:I19)</f>
        <v/>
      </c>
      <c r="K19" s="8">
        <f>IF(COUNT(D19:I19)&lt;6,"",AVERAGE(D19:I19))</f>
        <v/>
      </c>
    </row>
    <row r="20">
      <c r="A20" s="7" t="inlineStr">
        <is>
          <t>P19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8">
        <f>COUNT(D20:I20)</f>
        <v/>
      </c>
      <c r="K20" s="8">
        <f>IF(COUNT(D20:I20)&lt;6,"",AVERAGE(D20:I20))</f>
        <v/>
      </c>
    </row>
    <row r="21">
      <c r="A21" s="7" t="inlineStr">
        <is>
          <t>P20</t>
        </is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8">
        <f>COUNT(D21:I21)</f>
        <v/>
      </c>
      <c r="K21" s="8">
        <f>IF(COUNT(D21:I21)&lt;6,"",AVERAGE(D21:I21))</f>
        <v/>
      </c>
    </row>
    <row r="22">
      <c r="A22" s="7" t="inlineStr">
        <is>
          <t>P21</t>
        </is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8">
        <f>COUNT(D22:I22)</f>
        <v/>
      </c>
      <c r="K22" s="8">
        <f>IF(COUNT(D22:I22)&lt;6,"",AVERAGE(D22:I22))</f>
        <v/>
      </c>
    </row>
    <row r="23">
      <c r="A23" s="7" t="inlineStr">
        <is>
          <t>P22</t>
        </is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8">
        <f>COUNT(D23:I23)</f>
        <v/>
      </c>
      <c r="K23" s="8">
        <f>IF(COUNT(D23:I23)&lt;6,"",AVERAGE(D23:I23))</f>
        <v/>
      </c>
    </row>
    <row r="24">
      <c r="A24" s="7" t="inlineStr">
        <is>
          <t>P23</t>
        </is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8">
        <f>COUNT(D24:I24)</f>
        <v/>
      </c>
      <c r="K24" s="8">
        <f>IF(COUNT(D24:I24)&lt;6,"",AVERAGE(D24:I24))</f>
        <v/>
      </c>
    </row>
    <row r="25">
      <c r="A25" s="7" t="inlineStr">
        <is>
          <t>P24</t>
        </is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8">
        <f>COUNT(D25:I25)</f>
        <v/>
      </c>
      <c r="K25" s="8">
        <f>IF(COUNT(D25:I25)&lt;6,"",AVERAGE(D25:I25))</f>
        <v/>
      </c>
    </row>
    <row r="26">
      <c r="A26" s="7" t="inlineStr">
        <is>
          <t>P25</t>
        </is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8">
        <f>COUNT(D26:I26)</f>
        <v/>
      </c>
      <c r="K26" s="8">
        <f>IF(COUNT(D26:I26)&lt;6,"",AVERAGE(D26:I26))</f>
        <v/>
      </c>
    </row>
    <row r="27">
      <c r="A27" s="7" t="inlineStr">
        <is>
          <t>P26</t>
        </is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8">
        <f>COUNT(D27:I27)</f>
        <v/>
      </c>
      <c r="K27" s="8">
        <f>IF(COUNT(D27:I27)&lt;6,"",AVERAGE(D27:I27))</f>
        <v/>
      </c>
    </row>
    <row r="28">
      <c r="A28" s="7" t="inlineStr">
        <is>
          <t>P27</t>
        </is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8">
        <f>COUNT(D28:I28)</f>
        <v/>
      </c>
      <c r="K28" s="8">
        <f>IF(COUNT(D28:I28)&lt;6,"",AVERAGE(D28:I28))</f>
        <v/>
      </c>
    </row>
    <row r="29">
      <c r="A29" s="7" t="inlineStr">
        <is>
          <t>P28</t>
        </is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8">
        <f>COUNT(D29:I29)</f>
        <v/>
      </c>
      <c r="K29" s="8">
        <f>IF(COUNT(D29:I29)&lt;6,"",AVERAGE(D29:I29))</f>
        <v/>
      </c>
    </row>
    <row r="30">
      <c r="A30" s="7" t="inlineStr">
        <is>
          <t>P29</t>
        </is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8">
        <f>COUNT(D30:I30)</f>
        <v/>
      </c>
      <c r="K30" s="8">
        <f>IF(COUNT(D30:I30)&lt;6,"",AVERAGE(D30:I30))</f>
        <v/>
      </c>
    </row>
    <row r="31">
      <c r="A31" s="7" t="inlineStr">
        <is>
          <t>P30</t>
        </is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8">
        <f>COUNT(D31:I31)</f>
        <v/>
      </c>
      <c r="K31" s="8">
        <f>IF(COUNT(D31:I31)&lt;6,"",AVERAGE(D31:I31))</f>
        <v/>
      </c>
    </row>
  </sheetData>
  <conditionalFormatting sqref="D2:I31">
    <cfRule type="colorScale" priority="1">
      <colorScale>
        <cfvo type="num" val="0"/>
        <cfvo type="num" val="50"/>
        <cfvo type="num" val="100"/>
        <color rgb="0063BE7B"/>
        <color rgb="00FFEB84"/>
        <color rgb="00F8696B"/>
      </colorScale>
    </cfRule>
  </conditionalFormatting>
  <dataValidations count="2">
    <dataValidation sqref="B2:B31" showDropDown="0" showInputMessage="0" showErrorMessage="0" allowBlank="1" type="list">
      <formula1>"E1 Grid accuracy,E2 Fixation stability,E3 Static AAC,E4 Predictive AAC,Overall session"</formula1>
    </dataValidation>
    <dataValidation sqref="D2:D31 E2:E31 F2:F31 G2:G31 H2:H31 I2:I31" showDropDown="0" showInputMessage="0" showErrorMessage="1" allowBlank="1" errorTitle="Out of range" error="NASA-TLX ratings are 0-100, recorded in steps of 5." type="whole" operator="between">
      <formula1>0</formula1>
      <formula2>100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12" customWidth="1" min="23" max="23"/>
  </cols>
  <sheetData>
    <row r="1" ht="40" customHeight="1">
      <c r="A1" s="4" t="inlineStr">
        <is>
          <t>Participant ID</t>
        </is>
      </c>
      <c r="B1" s="4" t="inlineStr">
        <is>
          <t>1. MD vs PD</t>
        </is>
      </c>
      <c r="C1" s="4" t="inlineStr">
        <is>
          <t>2. MD vs TD</t>
        </is>
      </c>
      <c r="D1" s="4" t="inlineStr">
        <is>
          <t>3. MD vs PE</t>
        </is>
      </c>
      <c r="E1" s="4" t="inlineStr">
        <is>
          <t>4. MD vs EF</t>
        </is>
      </c>
      <c r="F1" s="4" t="inlineStr">
        <is>
          <t>5. MD vs FR</t>
        </is>
      </c>
      <c r="G1" s="4" t="inlineStr">
        <is>
          <t>6. PD vs TD</t>
        </is>
      </c>
      <c r="H1" s="4" t="inlineStr">
        <is>
          <t>7. PD vs PE</t>
        </is>
      </c>
      <c r="I1" s="4" t="inlineStr">
        <is>
          <t>8. PD vs EF</t>
        </is>
      </c>
      <c r="J1" s="4" t="inlineStr">
        <is>
          <t>9. PD vs FR</t>
        </is>
      </c>
      <c r="K1" s="4" t="inlineStr">
        <is>
          <t>10. TD vs PE</t>
        </is>
      </c>
      <c r="L1" s="4" t="inlineStr">
        <is>
          <t>11. TD vs EF</t>
        </is>
      </c>
      <c r="M1" s="4" t="inlineStr">
        <is>
          <t>12. TD vs FR</t>
        </is>
      </c>
      <c r="N1" s="4" t="inlineStr">
        <is>
          <t>13. PE vs EF</t>
        </is>
      </c>
      <c r="O1" s="4" t="inlineStr">
        <is>
          <t>14. PE vs FR</t>
        </is>
      </c>
      <c r="P1" s="4" t="inlineStr">
        <is>
          <t>15. EF vs FR</t>
        </is>
      </c>
      <c r="Q1" s="4" t="inlineStr">
        <is>
          <t>w(MD)</t>
        </is>
      </c>
      <c r="R1" s="4" t="inlineStr">
        <is>
          <t>w(PD)</t>
        </is>
      </c>
      <c r="S1" s="4" t="inlineStr">
        <is>
          <t>w(TD)</t>
        </is>
      </c>
      <c r="T1" s="4" t="inlineStr">
        <is>
          <t>w(PE)</t>
        </is>
      </c>
      <c r="U1" s="4" t="inlineStr">
        <is>
          <t>w(EF)</t>
        </is>
      </c>
      <c r="V1" s="4" t="inlineStr">
        <is>
          <t>w(FR)</t>
        </is>
      </c>
      <c r="W1" s="4" t="inlineStr">
        <is>
          <t>Sum = 15?</t>
        </is>
      </c>
    </row>
    <row r="2">
      <c r="A2" s="7" t="inlineStr">
        <is>
          <t>P01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8">
        <f>COUNTIF($B2:$P2,"MD")</f>
        <v/>
      </c>
      <c r="R2" s="8">
        <f>COUNTIF($B2:$P2,"PD")</f>
        <v/>
      </c>
      <c r="S2" s="8">
        <f>COUNTIF($B2:$P2,"TD")</f>
        <v/>
      </c>
      <c r="T2" s="8">
        <f>COUNTIF($B2:$P2,"PE")</f>
        <v/>
      </c>
      <c r="U2" s="8">
        <f>COUNTIF($B2:$P2,"EF")</f>
        <v/>
      </c>
      <c r="V2" s="8">
        <f>COUNTIF($B2:$P2,"FR")</f>
        <v/>
      </c>
      <c r="W2" s="8">
        <f>IF(COUNTA($B2:$P2)=0,"",IF(SUM(Q2:V2)=15,"OK","CHECK"))</f>
        <v/>
      </c>
    </row>
    <row r="3">
      <c r="A3" s="7" t="inlineStr">
        <is>
          <t>P02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8">
        <f>COUNTIF($B3:$P3,"MD")</f>
        <v/>
      </c>
      <c r="R3" s="8">
        <f>COUNTIF($B3:$P3,"PD")</f>
        <v/>
      </c>
      <c r="S3" s="8">
        <f>COUNTIF($B3:$P3,"TD")</f>
        <v/>
      </c>
      <c r="T3" s="8">
        <f>COUNTIF($B3:$P3,"PE")</f>
        <v/>
      </c>
      <c r="U3" s="8">
        <f>COUNTIF($B3:$P3,"EF")</f>
        <v/>
      </c>
      <c r="V3" s="8">
        <f>COUNTIF($B3:$P3,"FR")</f>
        <v/>
      </c>
      <c r="W3" s="8">
        <f>IF(COUNTA($B3:$P3)=0,"",IF(SUM(Q3:V3)=15,"OK","CHECK"))</f>
        <v/>
      </c>
    </row>
    <row r="4">
      <c r="A4" s="7" t="inlineStr">
        <is>
          <t>P03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8">
        <f>COUNTIF($B4:$P4,"MD")</f>
        <v/>
      </c>
      <c r="R4" s="8">
        <f>COUNTIF($B4:$P4,"PD")</f>
        <v/>
      </c>
      <c r="S4" s="8">
        <f>COUNTIF($B4:$P4,"TD")</f>
        <v/>
      </c>
      <c r="T4" s="8">
        <f>COUNTIF($B4:$P4,"PE")</f>
        <v/>
      </c>
      <c r="U4" s="8">
        <f>COUNTIF($B4:$P4,"EF")</f>
        <v/>
      </c>
      <c r="V4" s="8">
        <f>COUNTIF($B4:$P4,"FR")</f>
        <v/>
      </c>
      <c r="W4" s="8">
        <f>IF(COUNTA($B4:$P4)=0,"",IF(SUM(Q4:V4)=15,"OK","CHECK"))</f>
        <v/>
      </c>
    </row>
    <row r="5">
      <c r="A5" s="7" t="inlineStr">
        <is>
          <t>P04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8">
        <f>COUNTIF($B5:$P5,"MD")</f>
        <v/>
      </c>
      <c r="R5" s="8">
        <f>COUNTIF($B5:$P5,"PD")</f>
        <v/>
      </c>
      <c r="S5" s="8">
        <f>COUNTIF($B5:$P5,"TD")</f>
        <v/>
      </c>
      <c r="T5" s="8">
        <f>COUNTIF($B5:$P5,"PE")</f>
        <v/>
      </c>
      <c r="U5" s="8">
        <f>COUNTIF($B5:$P5,"EF")</f>
        <v/>
      </c>
      <c r="V5" s="8">
        <f>COUNTIF($B5:$P5,"FR")</f>
        <v/>
      </c>
      <c r="W5" s="8">
        <f>IF(COUNTA($B5:$P5)=0,"",IF(SUM(Q5:V5)=15,"OK","CHECK"))</f>
        <v/>
      </c>
    </row>
    <row r="6">
      <c r="A6" s="7" t="inlineStr">
        <is>
          <t>P05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8">
        <f>COUNTIF($B6:$P6,"MD")</f>
        <v/>
      </c>
      <c r="R6" s="8">
        <f>COUNTIF($B6:$P6,"PD")</f>
        <v/>
      </c>
      <c r="S6" s="8">
        <f>COUNTIF($B6:$P6,"TD")</f>
        <v/>
      </c>
      <c r="T6" s="8">
        <f>COUNTIF($B6:$P6,"PE")</f>
        <v/>
      </c>
      <c r="U6" s="8">
        <f>COUNTIF($B6:$P6,"EF")</f>
        <v/>
      </c>
      <c r="V6" s="8">
        <f>COUNTIF($B6:$P6,"FR")</f>
        <v/>
      </c>
      <c r="W6" s="8">
        <f>IF(COUNTA($B6:$P6)=0,"",IF(SUM(Q6:V6)=15,"OK","CHECK"))</f>
        <v/>
      </c>
    </row>
    <row r="7">
      <c r="A7" s="7" t="inlineStr">
        <is>
          <t>P06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8">
        <f>COUNTIF($B7:$P7,"MD")</f>
        <v/>
      </c>
      <c r="R7" s="8">
        <f>COUNTIF($B7:$P7,"PD")</f>
        <v/>
      </c>
      <c r="S7" s="8">
        <f>COUNTIF($B7:$P7,"TD")</f>
        <v/>
      </c>
      <c r="T7" s="8">
        <f>COUNTIF($B7:$P7,"PE")</f>
        <v/>
      </c>
      <c r="U7" s="8">
        <f>COUNTIF($B7:$P7,"EF")</f>
        <v/>
      </c>
      <c r="V7" s="8">
        <f>COUNTIF($B7:$P7,"FR")</f>
        <v/>
      </c>
      <c r="W7" s="8">
        <f>IF(COUNTA($B7:$P7)=0,"",IF(SUM(Q7:V7)=15,"OK","CHECK"))</f>
        <v/>
      </c>
    </row>
    <row r="8">
      <c r="A8" s="7" t="inlineStr">
        <is>
          <t>P07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8">
        <f>COUNTIF($B8:$P8,"MD")</f>
        <v/>
      </c>
      <c r="R8" s="8">
        <f>COUNTIF($B8:$P8,"PD")</f>
        <v/>
      </c>
      <c r="S8" s="8">
        <f>COUNTIF($B8:$P8,"TD")</f>
        <v/>
      </c>
      <c r="T8" s="8">
        <f>COUNTIF($B8:$P8,"PE")</f>
        <v/>
      </c>
      <c r="U8" s="8">
        <f>COUNTIF($B8:$P8,"EF")</f>
        <v/>
      </c>
      <c r="V8" s="8">
        <f>COUNTIF($B8:$P8,"FR")</f>
        <v/>
      </c>
      <c r="W8" s="8">
        <f>IF(COUNTA($B8:$P8)=0,"",IF(SUM(Q8:V8)=15,"OK","CHECK"))</f>
        <v/>
      </c>
    </row>
    <row r="9">
      <c r="A9" s="7" t="inlineStr">
        <is>
          <t>P08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8">
        <f>COUNTIF($B9:$P9,"MD")</f>
        <v/>
      </c>
      <c r="R9" s="8">
        <f>COUNTIF($B9:$P9,"PD")</f>
        <v/>
      </c>
      <c r="S9" s="8">
        <f>COUNTIF($B9:$P9,"TD")</f>
        <v/>
      </c>
      <c r="T9" s="8">
        <f>COUNTIF($B9:$P9,"PE")</f>
        <v/>
      </c>
      <c r="U9" s="8">
        <f>COUNTIF($B9:$P9,"EF")</f>
        <v/>
      </c>
      <c r="V9" s="8">
        <f>COUNTIF($B9:$P9,"FR")</f>
        <v/>
      </c>
      <c r="W9" s="8">
        <f>IF(COUNTA($B9:$P9)=0,"",IF(SUM(Q9:V9)=15,"OK","CHECK"))</f>
        <v/>
      </c>
    </row>
    <row r="10">
      <c r="A10" s="7" t="inlineStr">
        <is>
          <t>P09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8">
        <f>COUNTIF($B10:$P10,"MD")</f>
        <v/>
      </c>
      <c r="R10" s="8">
        <f>COUNTIF($B10:$P10,"PD")</f>
        <v/>
      </c>
      <c r="S10" s="8">
        <f>COUNTIF($B10:$P10,"TD")</f>
        <v/>
      </c>
      <c r="T10" s="8">
        <f>COUNTIF($B10:$P10,"PE")</f>
        <v/>
      </c>
      <c r="U10" s="8">
        <f>COUNTIF($B10:$P10,"EF")</f>
        <v/>
      </c>
      <c r="V10" s="8">
        <f>COUNTIF($B10:$P10,"FR")</f>
        <v/>
      </c>
      <c r="W10" s="8">
        <f>IF(COUNTA($B10:$P10)=0,"",IF(SUM(Q10:V10)=15,"OK","CHECK"))</f>
        <v/>
      </c>
    </row>
    <row r="11">
      <c r="A11" s="7" t="inlineStr">
        <is>
          <t>P10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8">
        <f>COUNTIF($B11:$P11,"MD")</f>
        <v/>
      </c>
      <c r="R11" s="8">
        <f>COUNTIF($B11:$P11,"PD")</f>
        <v/>
      </c>
      <c r="S11" s="8">
        <f>COUNTIF($B11:$P11,"TD")</f>
        <v/>
      </c>
      <c r="T11" s="8">
        <f>COUNTIF($B11:$P11,"PE")</f>
        <v/>
      </c>
      <c r="U11" s="8">
        <f>COUNTIF($B11:$P11,"EF")</f>
        <v/>
      </c>
      <c r="V11" s="8">
        <f>COUNTIF($B11:$P11,"FR")</f>
        <v/>
      </c>
      <c r="W11" s="8">
        <f>IF(COUNTA($B11:$P11)=0,"",IF(SUM(Q11:V11)=15,"OK","CHECK"))</f>
        <v/>
      </c>
    </row>
    <row r="12">
      <c r="A12" s="7" t="inlineStr">
        <is>
          <t>P11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8">
        <f>COUNTIF($B12:$P12,"MD")</f>
        <v/>
      </c>
      <c r="R12" s="8">
        <f>COUNTIF($B12:$P12,"PD")</f>
        <v/>
      </c>
      <c r="S12" s="8">
        <f>COUNTIF($B12:$P12,"TD")</f>
        <v/>
      </c>
      <c r="T12" s="8">
        <f>COUNTIF($B12:$P12,"PE")</f>
        <v/>
      </c>
      <c r="U12" s="8">
        <f>COUNTIF($B12:$P12,"EF")</f>
        <v/>
      </c>
      <c r="V12" s="8">
        <f>COUNTIF($B12:$P12,"FR")</f>
        <v/>
      </c>
      <c r="W12" s="8">
        <f>IF(COUNTA($B12:$P12)=0,"",IF(SUM(Q12:V12)=15,"OK","CHECK"))</f>
        <v/>
      </c>
    </row>
    <row r="13">
      <c r="A13" s="7" t="inlineStr">
        <is>
          <t>P12</t>
        </is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8">
        <f>COUNTIF($B13:$P13,"MD")</f>
        <v/>
      </c>
      <c r="R13" s="8">
        <f>COUNTIF($B13:$P13,"PD")</f>
        <v/>
      </c>
      <c r="S13" s="8">
        <f>COUNTIF($B13:$P13,"TD")</f>
        <v/>
      </c>
      <c r="T13" s="8">
        <f>COUNTIF($B13:$P13,"PE")</f>
        <v/>
      </c>
      <c r="U13" s="8">
        <f>COUNTIF($B13:$P13,"EF")</f>
        <v/>
      </c>
      <c r="V13" s="8">
        <f>COUNTIF($B13:$P13,"FR")</f>
        <v/>
      </c>
      <c r="W13" s="8">
        <f>IF(COUNTA($B13:$P13)=0,"",IF(SUM(Q13:V13)=15,"OK","CHECK"))</f>
        <v/>
      </c>
    </row>
    <row r="14">
      <c r="A14" s="7" t="inlineStr">
        <is>
          <t>P13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8">
        <f>COUNTIF($B14:$P14,"MD")</f>
        <v/>
      </c>
      <c r="R14" s="8">
        <f>COUNTIF($B14:$P14,"PD")</f>
        <v/>
      </c>
      <c r="S14" s="8">
        <f>COUNTIF($B14:$P14,"TD")</f>
        <v/>
      </c>
      <c r="T14" s="8">
        <f>COUNTIF($B14:$P14,"PE")</f>
        <v/>
      </c>
      <c r="U14" s="8">
        <f>COUNTIF($B14:$P14,"EF")</f>
        <v/>
      </c>
      <c r="V14" s="8">
        <f>COUNTIF($B14:$P14,"FR")</f>
        <v/>
      </c>
      <c r="W14" s="8">
        <f>IF(COUNTA($B14:$P14)=0,"",IF(SUM(Q14:V14)=15,"OK","CHECK"))</f>
        <v/>
      </c>
    </row>
    <row r="15">
      <c r="A15" s="7" t="inlineStr">
        <is>
          <t>P14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8">
        <f>COUNTIF($B15:$P15,"MD")</f>
        <v/>
      </c>
      <c r="R15" s="8">
        <f>COUNTIF($B15:$P15,"PD")</f>
        <v/>
      </c>
      <c r="S15" s="8">
        <f>COUNTIF($B15:$P15,"TD")</f>
        <v/>
      </c>
      <c r="T15" s="8">
        <f>COUNTIF($B15:$P15,"PE")</f>
        <v/>
      </c>
      <c r="U15" s="8">
        <f>COUNTIF($B15:$P15,"EF")</f>
        <v/>
      </c>
      <c r="V15" s="8">
        <f>COUNTIF($B15:$P15,"FR")</f>
        <v/>
      </c>
      <c r="W15" s="8">
        <f>IF(COUNTA($B15:$P15)=0,"",IF(SUM(Q15:V15)=15,"OK","CHECK"))</f>
        <v/>
      </c>
    </row>
    <row r="16">
      <c r="A16" s="7" t="inlineStr">
        <is>
          <t>P15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8">
        <f>COUNTIF($B16:$P16,"MD")</f>
        <v/>
      </c>
      <c r="R16" s="8">
        <f>COUNTIF($B16:$P16,"PD")</f>
        <v/>
      </c>
      <c r="S16" s="8">
        <f>COUNTIF($B16:$P16,"TD")</f>
        <v/>
      </c>
      <c r="T16" s="8">
        <f>COUNTIF($B16:$P16,"PE")</f>
        <v/>
      </c>
      <c r="U16" s="8">
        <f>COUNTIF($B16:$P16,"EF")</f>
        <v/>
      </c>
      <c r="V16" s="8">
        <f>COUNTIF($B16:$P16,"FR")</f>
        <v/>
      </c>
      <c r="W16" s="8">
        <f>IF(COUNTA($B16:$P16)=0,"",IF(SUM(Q16:V16)=15,"OK","CHECK"))</f>
        <v/>
      </c>
    </row>
    <row r="17">
      <c r="A17" s="7" t="inlineStr">
        <is>
          <t>P16</t>
        </is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8">
        <f>COUNTIF($B17:$P17,"MD")</f>
        <v/>
      </c>
      <c r="R17" s="8">
        <f>COUNTIF($B17:$P17,"PD")</f>
        <v/>
      </c>
      <c r="S17" s="8">
        <f>COUNTIF($B17:$P17,"TD")</f>
        <v/>
      </c>
      <c r="T17" s="8">
        <f>COUNTIF($B17:$P17,"PE")</f>
        <v/>
      </c>
      <c r="U17" s="8">
        <f>COUNTIF($B17:$P17,"EF")</f>
        <v/>
      </c>
      <c r="V17" s="8">
        <f>COUNTIF($B17:$P17,"FR")</f>
        <v/>
      </c>
      <c r="W17" s="8">
        <f>IF(COUNTA($B17:$P17)=0,"",IF(SUM(Q17:V17)=15,"OK","CHECK"))</f>
        <v/>
      </c>
    </row>
    <row r="18">
      <c r="A18" s="7" t="inlineStr">
        <is>
          <t>P17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8">
        <f>COUNTIF($B18:$P18,"MD")</f>
        <v/>
      </c>
      <c r="R18" s="8">
        <f>COUNTIF($B18:$P18,"PD")</f>
        <v/>
      </c>
      <c r="S18" s="8">
        <f>COUNTIF($B18:$P18,"TD")</f>
        <v/>
      </c>
      <c r="T18" s="8">
        <f>COUNTIF($B18:$P18,"PE")</f>
        <v/>
      </c>
      <c r="U18" s="8">
        <f>COUNTIF($B18:$P18,"EF")</f>
        <v/>
      </c>
      <c r="V18" s="8">
        <f>COUNTIF($B18:$P18,"FR")</f>
        <v/>
      </c>
      <c r="W18" s="8">
        <f>IF(COUNTA($B18:$P18)=0,"",IF(SUM(Q18:V18)=15,"OK","CHECK"))</f>
        <v/>
      </c>
    </row>
    <row r="19">
      <c r="A19" s="7" t="inlineStr">
        <is>
          <t>P18</t>
        </is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8">
        <f>COUNTIF($B19:$P19,"MD")</f>
        <v/>
      </c>
      <c r="R19" s="8">
        <f>COUNTIF($B19:$P19,"PD")</f>
        <v/>
      </c>
      <c r="S19" s="8">
        <f>COUNTIF($B19:$P19,"TD")</f>
        <v/>
      </c>
      <c r="T19" s="8">
        <f>COUNTIF($B19:$P19,"PE")</f>
        <v/>
      </c>
      <c r="U19" s="8">
        <f>COUNTIF($B19:$P19,"EF")</f>
        <v/>
      </c>
      <c r="V19" s="8">
        <f>COUNTIF($B19:$P19,"FR")</f>
        <v/>
      </c>
      <c r="W19" s="8">
        <f>IF(COUNTA($B19:$P19)=0,"",IF(SUM(Q19:V19)=15,"OK","CHECK"))</f>
        <v/>
      </c>
    </row>
    <row r="20">
      <c r="A20" s="7" t="inlineStr">
        <is>
          <t>P19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8">
        <f>COUNTIF($B20:$P20,"MD")</f>
        <v/>
      </c>
      <c r="R20" s="8">
        <f>COUNTIF($B20:$P20,"PD")</f>
        <v/>
      </c>
      <c r="S20" s="8">
        <f>COUNTIF($B20:$P20,"TD")</f>
        <v/>
      </c>
      <c r="T20" s="8">
        <f>COUNTIF($B20:$P20,"PE")</f>
        <v/>
      </c>
      <c r="U20" s="8">
        <f>COUNTIF($B20:$P20,"EF")</f>
        <v/>
      </c>
      <c r="V20" s="8">
        <f>COUNTIF($B20:$P20,"FR")</f>
        <v/>
      </c>
      <c r="W20" s="8">
        <f>IF(COUNTA($B20:$P20)=0,"",IF(SUM(Q20:V20)=15,"OK","CHECK"))</f>
        <v/>
      </c>
    </row>
    <row r="21">
      <c r="A21" s="7" t="inlineStr">
        <is>
          <t>P20</t>
        </is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8">
        <f>COUNTIF($B21:$P21,"MD")</f>
        <v/>
      </c>
      <c r="R21" s="8">
        <f>COUNTIF($B21:$P21,"PD")</f>
        <v/>
      </c>
      <c r="S21" s="8">
        <f>COUNTIF($B21:$P21,"TD")</f>
        <v/>
      </c>
      <c r="T21" s="8">
        <f>COUNTIF($B21:$P21,"PE")</f>
        <v/>
      </c>
      <c r="U21" s="8">
        <f>COUNTIF($B21:$P21,"EF")</f>
        <v/>
      </c>
      <c r="V21" s="8">
        <f>COUNTIF($B21:$P21,"FR")</f>
        <v/>
      </c>
      <c r="W21" s="8">
        <f>IF(COUNTA($B21:$P21)=0,"",IF(SUM(Q21:V21)=15,"OK","CHECK"))</f>
        <v/>
      </c>
    </row>
    <row r="22">
      <c r="A22" s="7" t="inlineStr">
        <is>
          <t>P21</t>
        </is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8">
        <f>COUNTIF($B22:$P22,"MD")</f>
        <v/>
      </c>
      <c r="R22" s="8">
        <f>COUNTIF($B22:$P22,"PD")</f>
        <v/>
      </c>
      <c r="S22" s="8">
        <f>COUNTIF($B22:$P22,"TD")</f>
        <v/>
      </c>
      <c r="T22" s="8">
        <f>COUNTIF($B22:$P22,"PE")</f>
        <v/>
      </c>
      <c r="U22" s="8">
        <f>COUNTIF($B22:$P22,"EF")</f>
        <v/>
      </c>
      <c r="V22" s="8">
        <f>COUNTIF($B22:$P22,"FR")</f>
        <v/>
      </c>
      <c r="W22" s="8">
        <f>IF(COUNTA($B22:$P22)=0,"",IF(SUM(Q22:V22)=15,"OK","CHECK"))</f>
        <v/>
      </c>
    </row>
    <row r="23">
      <c r="A23" s="7" t="inlineStr">
        <is>
          <t>P22</t>
        </is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8">
        <f>COUNTIF($B23:$P23,"MD")</f>
        <v/>
      </c>
      <c r="R23" s="8">
        <f>COUNTIF($B23:$P23,"PD")</f>
        <v/>
      </c>
      <c r="S23" s="8">
        <f>COUNTIF($B23:$P23,"TD")</f>
        <v/>
      </c>
      <c r="T23" s="8">
        <f>COUNTIF($B23:$P23,"PE")</f>
        <v/>
      </c>
      <c r="U23" s="8">
        <f>COUNTIF($B23:$P23,"EF")</f>
        <v/>
      </c>
      <c r="V23" s="8">
        <f>COUNTIF($B23:$P23,"FR")</f>
        <v/>
      </c>
      <c r="W23" s="8">
        <f>IF(COUNTA($B23:$P23)=0,"",IF(SUM(Q23:V23)=15,"OK","CHECK"))</f>
        <v/>
      </c>
    </row>
    <row r="24">
      <c r="A24" s="7" t="inlineStr">
        <is>
          <t>P23</t>
        </is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8">
        <f>COUNTIF($B24:$P24,"MD")</f>
        <v/>
      </c>
      <c r="R24" s="8">
        <f>COUNTIF($B24:$P24,"PD")</f>
        <v/>
      </c>
      <c r="S24" s="8">
        <f>COUNTIF($B24:$P24,"TD")</f>
        <v/>
      </c>
      <c r="T24" s="8">
        <f>COUNTIF($B24:$P24,"PE")</f>
        <v/>
      </c>
      <c r="U24" s="8">
        <f>COUNTIF($B24:$P24,"EF")</f>
        <v/>
      </c>
      <c r="V24" s="8">
        <f>COUNTIF($B24:$P24,"FR")</f>
        <v/>
      </c>
      <c r="W24" s="8">
        <f>IF(COUNTA($B24:$P24)=0,"",IF(SUM(Q24:V24)=15,"OK","CHECK"))</f>
        <v/>
      </c>
    </row>
    <row r="25">
      <c r="A25" s="7" t="inlineStr">
        <is>
          <t>P24</t>
        </is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8">
        <f>COUNTIF($B25:$P25,"MD")</f>
        <v/>
      </c>
      <c r="R25" s="8">
        <f>COUNTIF($B25:$P25,"PD")</f>
        <v/>
      </c>
      <c r="S25" s="8">
        <f>COUNTIF($B25:$P25,"TD")</f>
        <v/>
      </c>
      <c r="T25" s="8">
        <f>COUNTIF($B25:$P25,"PE")</f>
        <v/>
      </c>
      <c r="U25" s="8">
        <f>COUNTIF($B25:$P25,"EF")</f>
        <v/>
      </c>
      <c r="V25" s="8">
        <f>COUNTIF($B25:$P25,"FR")</f>
        <v/>
      </c>
      <c r="W25" s="8">
        <f>IF(COUNTA($B25:$P25)=0,"",IF(SUM(Q25:V25)=15,"OK","CHECK"))</f>
        <v/>
      </c>
    </row>
    <row r="26">
      <c r="A26" s="7" t="inlineStr">
        <is>
          <t>P25</t>
        </is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8">
        <f>COUNTIF($B26:$P26,"MD")</f>
        <v/>
      </c>
      <c r="R26" s="8">
        <f>COUNTIF($B26:$P26,"PD")</f>
        <v/>
      </c>
      <c r="S26" s="8">
        <f>COUNTIF($B26:$P26,"TD")</f>
        <v/>
      </c>
      <c r="T26" s="8">
        <f>COUNTIF($B26:$P26,"PE")</f>
        <v/>
      </c>
      <c r="U26" s="8">
        <f>COUNTIF($B26:$P26,"EF")</f>
        <v/>
      </c>
      <c r="V26" s="8">
        <f>COUNTIF($B26:$P26,"FR")</f>
        <v/>
      </c>
      <c r="W26" s="8">
        <f>IF(COUNTA($B26:$P26)=0,"",IF(SUM(Q26:V26)=15,"OK","CHECK"))</f>
        <v/>
      </c>
    </row>
    <row r="27">
      <c r="A27" s="7" t="inlineStr">
        <is>
          <t>P26</t>
        </is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8">
        <f>COUNTIF($B27:$P27,"MD")</f>
        <v/>
      </c>
      <c r="R27" s="8">
        <f>COUNTIF($B27:$P27,"PD")</f>
        <v/>
      </c>
      <c r="S27" s="8">
        <f>COUNTIF($B27:$P27,"TD")</f>
        <v/>
      </c>
      <c r="T27" s="8">
        <f>COUNTIF($B27:$P27,"PE")</f>
        <v/>
      </c>
      <c r="U27" s="8">
        <f>COUNTIF($B27:$P27,"EF")</f>
        <v/>
      </c>
      <c r="V27" s="8">
        <f>COUNTIF($B27:$P27,"FR")</f>
        <v/>
      </c>
      <c r="W27" s="8">
        <f>IF(COUNTA($B27:$P27)=0,"",IF(SUM(Q27:V27)=15,"OK","CHECK"))</f>
        <v/>
      </c>
    </row>
    <row r="28">
      <c r="A28" s="7" t="inlineStr">
        <is>
          <t>P27</t>
        </is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8">
        <f>COUNTIF($B28:$P28,"MD")</f>
        <v/>
      </c>
      <c r="R28" s="8">
        <f>COUNTIF($B28:$P28,"PD")</f>
        <v/>
      </c>
      <c r="S28" s="8">
        <f>COUNTIF($B28:$P28,"TD")</f>
        <v/>
      </c>
      <c r="T28" s="8">
        <f>COUNTIF($B28:$P28,"PE")</f>
        <v/>
      </c>
      <c r="U28" s="8">
        <f>COUNTIF($B28:$P28,"EF")</f>
        <v/>
      </c>
      <c r="V28" s="8">
        <f>COUNTIF($B28:$P28,"FR")</f>
        <v/>
      </c>
      <c r="W28" s="8">
        <f>IF(COUNTA($B28:$P28)=0,"",IF(SUM(Q28:V28)=15,"OK","CHECK"))</f>
        <v/>
      </c>
    </row>
    <row r="29">
      <c r="A29" s="7" t="inlineStr">
        <is>
          <t>P28</t>
        </is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8">
        <f>COUNTIF($B29:$P29,"MD")</f>
        <v/>
      </c>
      <c r="R29" s="8">
        <f>COUNTIF($B29:$P29,"PD")</f>
        <v/>
      </c>
      <c r="S29" s="8">
        <f>COUNTIF($B29:$P29,"TD")</f>
        <v/>
      </c>
      <c r="T29" s="8">
        <f>COUNTIF($B29:$P29,"PE")</f>
        <v/>
      </c>
      <c r="U29" s="8">
        <f>COUNTIF($B29:$P29,"EF")</f>
        <v/>
      </c>
      <c r="V29" s="8">
        <f>COUNTIF($B29:$P29,"FR")</f>
        <v/>
      </c>
      <c r="W29" s="8">
        <f>IF(COUNTA($B29:$P29)=0,"",IF(SUM(Q29:V29)=15,"OK","CHECK"))</f>
        <v/>
      </c>
    </row>
    <row r="30">
      <c r="A30" s="7" t="inlineStr">
        <is>
          <t>P29</t>
        </is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8">
        <f>COUNTIF($B30:$P30,"MD")</f>
        <v/>
      </c>
      <c r="R30" s="8">
        <f>COUNTIF($B30:$P30,"PD")</f>
        <v/>
      </c>
      <c r="S30" s="8">
        <f>COUNTIF($B30:$P30,"TD")</f>
        <v/>
      </c>
      <c r="T30" s="8">
        <f>COUNTIF($B30:$P30,"PE")</f>
        <v/>
      </c>
      <c r="U30" s="8">
        <f>COUNTIF($B30:$P30,"EF")</f>
        <v/>
      </c>
      <c r="V30" s="8">
        <f>COUNTIF($B30:$P30,"FR")</f>
        <v/>
      </c>
      <c r="W30" s="8">
        <f>IF(COUNTA($B30:$P30)=0,"",IF(SUM(Q30:V30)=15,"OK","CHECK"))</f>
        <v/>
      </c>
    </row>
    <row r="31">
      <c r="A31" s="7" t="inlineStr">
        <is>
          <t>P30</t>
        </is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8">
        <f>COUNTIF($B31:$P31,"MD")</f>
        <v/>
      </c>
      <c r="R31" s="8">
        <f>COUNTIF($B31:$P31,"PD")</f>
        <v/>
      </c>
      <c r="S31" s="8">
        <f>COUNTIF($B31:$P31,"TD")</f>
        <v/>
      </c>
      <c r="T31" s="8">
        <f>COUNTIF($B31:$P31,"PE")</f>
        <v/>
      </c>
      <c r="U31" s="8">
        <f>COUNTIF($B31:$P31,"EF")</f>
        <v/>
      </c>
      <c r="V31" s="8">
        <f>COUNTIF($B31:$P31,"FR")</f>
        <v/>
      </c>
      <c r="W31" s="8">
        <f>IF(COUNTA($B31:$P31)=0,"",IF(SUM(Q31:V31)=15,"OK","CHECK"))</f>
        <v/>
      </c>
    </row>
    <row r="33">
      <c r="A33" s="9" t="inlineStr">
        <is>
          <t>Enter the sub-scale code the participant chose as the LARGER contributor to workload for each pair. Weights (Q:V) and the sum check (W) update automatically; 'CHECK' means a pair is missing or mistyped.</t>
        </is>
      </c>
    </row>
  </sheetData>
  <dataValidations count="15">
    <dataValidation sqref="B2:B31" showDropDown="0" showInputMessage="0" showErrorMessage="1" allowBlank="1" errorTitle="Invalid choice" error="Enter either MD (Mental Demand) or PD (Physical Demand)." type="list">
      <formula1>"MD,PD"</formula1>
    </dataValidation>
    <dataValidation sqref="C2:C31" showDropDown="0" showInputMessage="0" showErrorMessage="1" allowBlank="1" errorTitle="Invalid choice" error="Enter either MD (Mental Demand) or TD (Temporal Demand)." type="list">
      <formula1>"MD,TD"</formula1>
    </dataValidation>
    <dataValidation sqref="D2:D31" showDropDown="0" showInputMessage="0" showErrorMessage="1" allowBlank="1" errorTitle="Invalid choice" error="Enter either MD (Mental Demand) or PE (Performance)." type="list">
      <formula1>"MD,PE"</formula1>
    </dataValidation>
    <dataValidation sqref="E2:E31" showDropDown="0" showInputMessage="0" showErrorMessage="1" allowBlank="1" errorTitle="Invalid choice" error="Enter either MD (Mental Demand) or EF (Effort)." type="list">
      <formula1>"MD,EF"</formula1>
    </dataValidation>
    <dataValidation sqref="F2:F31" showDropDown="0" showInputMessage="0" showErrorMessage="1" allowBlank="1" errorTitle="Invalid choice" error="Enter either MD (Mental Demand) or FR (Frustration)." type="list">
      <formula1>"MD,FR"</formula1>
    </dataValidation>
    <dataValidation sqref="G2:G31" showDropDown="0" showInputMessage="0" showErrorMessage="1" allowBlank="1" errorTitle="Invalid choice" error="Enter either PD (Physical Demand) or TD (Temporal Demand)." type="list">
      <formula1>"PD,TD"</formula1>
    </dataValidation>
    <dataValidation sqref="H2:H31" showDropDown="0" showInputMessage="0" showErrorMessage="1" allowBlank="1" errorTitle="Invalid choice" error="Enter either PD (Physical Demand) or PE (Performance)." type="list">
      <formula1>"PD,PE"</formula1>
    </dataValidation>
    <dataValidation sqref="I2:I31" showDropDown="0" showInputMessage="0" showErrorMessage="1" allowBlank="1" errorTitle="Invalid choice" error="Enter either PD (Physical Demand) or EF (Effort)." type="list">
      <formula1>"PD,EF"</formula1>
    </dataValidation>
    <dataValidation sqref="J2:J31" showDropDown="0" showInputMessage="0" showErrorMessage="1" allowBlank="1" errorTitle="Invalid choice" error="Enter either PD (Physical Demand) or FR (Frustration)." type="list">
      <formula1>"PD,FR"</formula1>
    </dataValidation>
    <dataValidation sqref="K2:K31" showDropDown="0" showInputMessage="0" showErrorMessage="1" allowBlank="1" errorTitle="Invalid choice" error="Enter either TD (Temporal Demand) or PE (Performance)." type="list">
      <formula1>"TD,PE"</formula1>
    </dataValidation>
    <dataValidation sqref="L2:L31" showDropDown="0" showInputMessage="0" showErrorMessage="1" allowBlank="1" errorTitle="Invalid choice" error="Enter either TD (Temporal Demand) or EF (Effort)." type="list">
      <formula1>"TD,EF"</formula1>
    </dataValidation>
    <dataValidation sqref="M2:M31" showDropDown="0" showInputMessage="0" showErrorMessage="1" allowBlank="1" errorTitle="Invalid choice" error="Enter either TD (Temporal Demand) or FR (Frustration)." type="list">
      <formula1>"TD,FR"</formula1>
    </dataValidation>
    <dataValidation sqref="N2:N31" showDropDown="0" showInputMessage="0" showErrorMessage="1" allowBlank="1" errorTitle="Invalid choice" error="Enter either PE (Performance) or EF (Effort)." type="list">
      <formula1>"PE,EF"</formula1>
    </dataValidation>
    <dataValidation sqref="O2:O31" showDropDown="0" showInputMessage="0" showErrorMessage="1" allowBlank="1" errorTitle="Invalid choice" error="Enter either PE (Performance) or FR (Frustration)." type="list">
      <formula1>"PE,FR"</formula1>
    </dataValidation>
    <dataValidation sqref="P2:P31" showDropDown="0" showInputMessage="0" showErrorMessage="1" allowBlank="1" errorTitle="Invalid choice" error="Enter either EF (Effort) or FR (Frustration)." type="list">
      <formula1>"EF,FR"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8" customWidth="1" min="15" max="15"/>
    <col width="14" customWidth="1" min="16" max="16"/>
    <col width="16" customWidth="1" min="17" max="17"/>
    <col width="12" customWidth="1" min="18" max="18"/>
  </cols>
  <sheetData>
    <row r="1" ht="40" customHeight="1">
      <c r="A1" s="4" t="inlineStr">
        <is>
          <t>Participant ID</t>
        </is>
      </c>
      <c r="B1" s="4" t="inlineStr">
        <is>
          <t>Condition</t>
        </is>
      </c>
      <c r="C1" s="4" t="inlineStr">
        <is>
          <t>MD rating</t>
        </is>
      </c>
      <c r="D1" s="4" t="inlineStr">
        <is>
          <t>PD rating</t>
        </is>
      </c>
      <c r="E1" s="4" t="inlineStr">
        <is>
          <t>TD rating</t>
        </is>
      </c>
      <c r="F1" s="4" t="inlineStr">
        <is>
          <t>PE rating</t>
        </is>
      </c>
      <c r="G1" s="4" t="inlineStr">
        <is>
          <t>EF rating</t>
        </is>
      </c>
      <c r="H1" s="4" t="inlineStr">
        <is>
          <t>FR rating</t>
        </is>
      </c>
      <c r="I1" s="4" t="inlineStr">
        <is>
          <t>MD weight</t>
        </is>
      </c>
      <c r="J1" s="4" t="inlineStr">
        <is>
          <t>PD weight</t>
        </is>
      </c>
      <c r="K1" s="4" t="inlineStr">
        <is>
          <t>TD weight</t>
        </is>
      </c>
      <c r="L1" s="4" t="inlineStr">
        <is>
          <t>PE weight</t>
        </is>
      </c>
      <c r="M1" s="4" t="inlineStr">
        <is>
          <t>EF weight</t>
        </is>
      </c>
      <c r="N1" s="4" t="inlineStr">
        <is>
          <t>FR weight</t>
        </is>
      </c>
      <c r="O1" s="4" t="inlineStr">
        <is>
          <t>Weighted TLX (0-100)</t>
        </is>
      </c>
      <c r="P1" s="4" t="inlineStr">
        <is>
          <t>Raw TLX (RTLX)</t>
        </is>
      </c>
      <c r="Q1" s="4" t="inlineStr">
        <is>
          <t>Workload band</t>
        </is>
      </c>
      <c r="R1" s="4" t="inlineStr">
        <is>
          <t>Top driver</t>
        </is>
      </c>
    </row>
    <row r="2">
      <c r="A2" s="7">
        <f>TLX_Ratings!A2</f>
        <v/>
      </c>
      <c r="B2" s="7">
        <f>TLX_Ratings!B2</f>
        <v/>
      </c>
      <c r="C2" s="8">
        <f>IF(TLX_Ratings!D2="","",TLX_Ratings!D2)</f>
        <v/>
      </c>
      <c r="D2" s="8">
        <f>IF(TLX_Ratings!E2="","",TLX_Ratings!E2)</f>
        <v/>
      </c>
      <c r="E2" s="8">
        <f>IF(TLX_Ratings!F2="","",TLX_Ratings!F2)</f>
        <v/>
      </c>
      <c r="F2" s="8">
        <f>IF(TLX_Ratings!G2="","",TLX_Ratings!G2)</f>
        <v/>
      </c>
      <c r="G2" s="8">
        <f>IF(TLX_Ratings!H2="","",TLX_Ratings!H2)</f>
        <v/>
      </c>
      <c r="H2" s="8">
        <f>IF(TLX_Ratings!I2="","",TLX_Ratings!I2)</f>
        <v/>
      </c>
      <c r="I2" s="8">
        <f>IFERROR(INDEX(Pairwise_Weights!$Q:$V,MATCH($A2,Pairwise_Weights!$A:$A,0),1),"")</f>
        <v/>
      </c>
      <c r="J2" s="8">
        <f>IFERROR(INDEX(Pairwise_Weights!$Q:$V,MATCH($A2,Pairwise_Weights!$A:$A,0),2),"")</f>
        <v/>
      </c>
      <c r="K2" s="8">
        <f>IFERROR(INDEX(Pairwise_Weights!$Q:$V,MATCH($A2,Pairwise_Weights!$A:$A,0),3),"")</f>
        <v/>
      </c>
      <c r="L2" s="8">
        <f>IFERROR(INDEX(Pairwise_Weights!$Q:$V,MATCH($A2,Pairwise_Weights!$A:$A,0),4),"")</f>
        <v/>
      </c>
      <c r="M2" s="8">
        <f>IFERROR(INDEX(Pairwise_Weights!$Q:$V,MATCH($A2,Pairwise_Weights!$A:$A,0),5),"")</f>
        <v/>
      </c>
      <c r="N2" s="8">
        <f>IFERROR(INDEX(Pairwise_Weights!$Q:$V,MATCH($A2,Pairwise_Weights!$A:$A,0),6),"")</f>
        <v/>
      </c>
      <c r="O2" s="8">
        <f>IF(OR(COUNT(C2:H2)&lt;6,SUM(I2:N2)&lt;&gt;15),"",SUMPRODUCT(C2:H2,I2:N2)/15)</f>
        <v/>
      </c>
      <c r="P2" s="8">
        <f>IF(COUNT(C2:H2)&lt;6,"",AVERAGE(C2:H2))</f>
        <v/>
      </c>
      <c r="Q2" s="8">
        <f>IF(P2="","",IF(P2&lt;10,"Very low",IF(P2&lt;30,"Low",IF(P2&lt;50,"Medium",IF(P2&lt;80,"High","Very high")))))</f>
        <v/>
      </c>
      <c r="R2" s="8">
        <f>IF(COUNT(C2:H2)&lt;6,"",INDEX(Subscale_Definitions!$B$2:$B$7,MATCH(MAX(C2:H2),C2:H2,0)))</f>
        <v/>
      </c>
    </row>
    <row r="3">
      <c r="A3" s="7">
        <f>TLX_Ratings!A3</f>
        <v/>
      </c>
      <c r="B3" s="7">
        <f>TLX_Ratings!B3</f>
        <v/>
      </c>
      <c r="C3" s="8">
        <f>IF(TLX_Ratings!D3="","",TLX_Ratings!D3)</f>
        <v/>
      </c>
      <c r="D3" s="8">
        <f>IF(TLX_Ratings!E3="","",TLX_Ratings!E3)</f>
        <v/>
      </c>
      <c r="E3" s="8">
        <f>IF(TLX_Ratings!F3="","",TLX_Ratings!F3)</f>
        <v/>
      </c>
      <c r="F3" s="8">
        <f>IF(TLX_Ratings!G3="","",TLX_Ratings!G3)</f>
        <v/>
      </c>
      <c r="G3" s="8">
        <f>IF(TLX_Ratings!H3="","",TLX_Ratings!H3)</f>
        <v/>
      </c>
      <c r="H3" s="8">
        <f>IF(TLX_Ratings!I3="","",TLX_Ratings!I3)</f>
        <v/>
      </c>
      <c r="I3" s="8">
        <f>IFERROR(INDEX(Pairwise_Weights!$Q:$V,MATCH($A3,Pairwise_Weights!$A:$A,0),1),"")</f>
        <v/>
      </c>
      <c r="J3" s="8">
        <f>IFERROR(INDEX(Pairwise_Weights!$Q:$V,MATCH($A3,Pairwise_Weights!$A:$A,0),2),"")</f>
        <v/>
      </c>
      <c r="K3" s="8">
        <f>IFERROR(INDEX(Pairwise_Weights!$Q:$V,MATCH($A3,Pairwise_Weights!$A:$A,0),3),"")</f>
        <v/>
      </c>
      <c r="L3" s="8">
        <f>IFERROR(INDEX(Pairwise_Weights!$Q:$V,MATCH($A3,Pairwise_Weights!$A:$A,0),4),"")</f>
        <v/>
      </c>
      <c r="M3" s="8">
        <f>IFERROR(INDEX(Pairwise_Weights!$Q:$V,MATCH($A3,Pairwise_Weights!$A:$A,0),5),"")</f>
        <v/>
      </c>
      <c r="N3" s="8">
        <f>IFERROR(INDEX(Pairwise_Weights!$Q:$V,MATCH($A3,Pairwise_Weights!$A:$A,0),6),"")</f>
        <v/>
      </c>
      <c r="O3" s="8">
        <f>IF(OR(COUNT(C3:H3)&lt;6,SUM(I3:N3)&lt;&gt;15),"",SUMPRODUCT(C3:H3,I3:N3)/15)</f>
        <v/>
      </c>
      <c r="P3" s="8">
        <f>IF(COUNT(C3:H3)&lt;6,"",AVERAGE(C3:H3))</f>
        <v/>
      </c>
      <c r="Q3" s="8">
        <f>IF(P3="","",IF(P3&lt;10,"Very low",IF(P3&lt;30,"Low",IF(P3&lt;50,"Medium",IF(P3&lt;80,"High","Very high")))))</f>
        <v/>
      </c>
      <c r="R3" s="8">
        <f>IF(COUNT(C3:H3)&lt;6,"",INDEX(Subscale_Definitions!$B$2:$B$7,MATCH(MAX(C3:H3),C3:H3,0)))</f>
        <v/>
      </c>
    </row>
    <row r="4">
      <c r="A4" s="7">
        <f>TLX_Ratings!A4</f>
        <v/>
      </c>
      <c r="B4" s="7">
        <f>TLX_Ratings!B4</f>
        <v/>
      </c>
      <c r="C4" s="8">
        <f>IF(TLX_Ratings!D4="","",TLX_Ratings!D4)</f>
        <v/>
      </c>
      <c r="D4" s="8">
        <f>IF(TLX_Ratings!E4="","",TLX_Ratings!E4)</f>
        <v/>
      </c>
      <c r="E4" s="8">
        <f>IF(TLX_Ratings!F4="","",TLX_Ratings!F4)</f>
        <v/>
      </c>
      <c r="F4" s="8">
        <f>IF(TLX_Ratings!G4="","",TLX_Ratings!G4)</f>
        <v/>
      </c>
      <c r="G4" s="8">
        <f>IF(TLX_Ratings!H4="","",TLX_Ratings!H4)</f>
        <v/>
      </c>
      <c r="H4" s="8">
        <f>IF(TLX_Ratings!I4="","",TLX_Ratings!I4)</f>
        <v/>
      </c>
      <c r="I4" s="8">
        <f>IFERROR(INDEX(Pairwise_Weights!$Q:$V,MATCH($A4,Pairwise_Weights!$A:$A,0),1),"")</f>
        <v/>
      </c>
      <c r="J4" s="8">
        <f>IFERROR(INDEX(Pairwise_Weights!$Q:$V,MATCH($A4,Pairwise_Weights!$A:$A,0),2),"")</f>
        <v/>
      </c>
      <c r="K4" s="8">
        <f>IFERROR(INDEX(Pairwise_Weights!$Q:$V,MATCH($A4,Pairwise_Weights!$A:$A,0),3),"")</f>
        <v/>
      </c>
      <c r="L4" s="8">
        <f>IFERROR(INDEX(Pairwise_Weights!$Q:$V,MATCH($A4,Pairwise_Weights!$A:$A,0),4),"")</f>
        <v/>
      </c>
      <c r="M4" s="8">
        <f>IFERROR(INDEX(Pairwise_Weights!$Q:$V,MATCH($A4,Pairwise_Weights!$A:$A,0),5),"")</f>
        <v/>
      </c>
      <c r="N4" s="8">
        <f>IFERROR(INDEX(Pairwise_Weights!$Q:$V,MATCH($A4,Pairwise_Weights!$A:$A,0),6),"")</f>
        <v/>
      </c>
      <c r="O4" s="8">
        <f>IF(OR(COUNT(C4:H4)&lt;6,SUM(I4:N4)&lt;&gt;15),"",SUMPRODUCT(C4:H4,I4:N4)/15)</f>
        <v/>
      </c>
      <c r="P4" s="8">
        <f>IF(COUNT(C4:H4)&lt;6,"",AVERAGE(C4:H4))</f>
        <v/>
      </c>
      <c r="Q4" s="8">
        <f>IF(P4="","",IF(P4&lt;10,"Very low",IF(P4&lt;30,"Low",IF(P4&lt;50,"Medium",IF(P4&lt;80,"High","Very high")))))</f>
        <v/>
      </c>
      <c r="R4" s="8">
        <f>IF(COUNT(C4:H4)&lt;6,"",INDEX(Subscale_Definitions!$B$2:$B$7,MATCH(MAX(C4:H4),C4:H4,0)))</f>
        <v/>
      </c>
    </row>
    <row r="5">
      <c r="A5" s="7">
        <f>TLX_Ratings!A5</f>
        <v/>
      </c>
      <c r="B5" s="7">
        <f>TLX_Ratings!B5</f>
        <v/>
      </c>
      <c r="C5" s="8">
        <f>IF(TLX_Ratings!D5="","",TLX_Ratings!D5)</f>
        <v/>
      </c>
      <c r="D5" s="8">
        <f>IF(TLX_Ratings!E5="","",TLX_Ratings!E5)</f>
        <v/>
      </c>
      <c r="E5" s="8">
        <f>IF(TLX_Ratings!F5="","",TLX_Ratings!F5)</f>
        <v/>
      </c>
      <c r="F5" s="8">
        <f>IF(TLX_Ratings!G5="","",TLX_Ratings!G5)</f>
        <v/>
      </c>
      <c r="G5" s="8">
        <f>IF(TLX_Ratings!H5="","",TLX_Ratings!H5)</f>
        <v/>
      </c>
      <c r="H5" s="8">
        <f>IF(TLX_Ratings!I5="","",TLX_Ratings!I5)</f>
        <v/>
      </c>
      <c r="I5" s="8">
        <f>IFERROR(INDEX(Pairwise_Weights!$Q:$V,MATCH($A5,Pairwise_Weights!$A:$A,0),1),"")</f>
        <v/>
      </c>
      <c r="J5" s="8">
        <f>IFERROR(INDEX(Pairwise_Weights!$Q:$V,MATCH($A5,Pairwise_Weights!$A:$A,0),2),"")</f>
        <v/>
      </c>
      <c r="K5" s="8">
        <f>IFERROR(INDEX(Pairwise_Weights!$Q:$V,MATCH($A5,Pairwise_Weights!$A:$A,0),3),"")</f>
        <v/>
      </c>
      <c r="L5" s="8">
        <f>IFERROR(INDEX(Pairwise_Weights!$Q:$V,MATCH($A5,Pairwise_Weights!$A:$A,0),4),"")</f>
        <v/>
      </c>
      <c r="M5" s="8">
        <f>IFERROR(INDEX(Pairwise_Weights!$Q:$V,MATCH($A5,Pairwise_Weights!$A:$A,0),5),"")</f>
        <v/>
      </c>
      <c r="N5" s="8">
        <f>IFERROR(INDEX(Pairwise_Weights!$Q:$V,MATCH($A5,Pairwise_Weights!$A:$A,0),6),"")</f>
        <v/>
      </c>
      <c r="O5" s="8">
        <f>IF(OR(COUNT(C5:H5)&lt;6,SUM(I5:N5)&lt;&gt;15),"",SUMPRODUCT(C5:H5,I5:N5)/15)</f>
        <v/>
      </c>
      <c r="P5" s="8">
        <f>IF(COUNT(C5:H5)&lt;6,"",AVERAGE(C5:H5))</f>
        <v/>
      </c>
      <c r="Q5" s="8">
        <f>IF(P5="","",IF(P5&lt;10,"Very low",IF(P5&lt;30,"Low",IF(P5&lt;50,"Medium",IF(P5&lt;80,"High","Very high")))))</f>
        <v/>
      </c>
      <c r="R5" s="8">
        <f>IF(COUNT(C5:H5)&lt;6,"",INDEX(Subscale_Definitions!$B$2:$B$7,MATCH(MAX(C5:H5),C5:H5,0)))</f>
        <v/>
      </c>
    </row>
    <row r="6">
      <c r="A6" s="7">
        <f>TLX_Ratings!A6</f>
        <v/>
      </c>
      <c r="B6" s="7">
        <f>TLX_Ratings!B6</f>
        <v/>
      </c>
      <c r="C6" s="8">
        <f>IF(TLX_Ratings!D6="","",TLX_Ratings!D6)</f>
        <v/>
      </c>
      <c r="D6" s="8">
        <f>IF(TLX_Ratings!E6="","",TLX_Ratings!E6)</f>
        <v/>
      </c>
      <c r="E6" s="8">
        <f>IF(TLX_Ratings!F6="","",TLX_Ratings!F6)</f>
        <v/>
      </c>
      <c r="F6" s="8">
        <f>IF(TLX_Ratings!G6="","",TLX_Ratings!G6)</f>
        <v/>
      </c>
      <c r="G6" s="8">
        <f>IF(TLX_Ratings!H6="","",TLX_Ratings!H6)</f>
        <v/>
      </c>
      <c r="H6" s="8">
        <f>IF(TLX_Ratings!I6="","",TLX_Ratings!I6)</f>
        <v/>
      </c>
      <c r="I6" s="8">
        <f>IFERROR(INDEX(Pairwise_Weights!$Q:$V,MATCH($A6,Pairwise_Weights!$A:$A,0),1),"")</f>
        <v/>
      </c>
      <c r="J6" s="8">
        <f>IFERROR(INDEX(Pairwise_Weights!$Q:$V,MATCH($A6,Pairwise_Weights!$A:$A,0),2),"")</f>
        <v/>
      </c>
      <c r="K6" s="8">
        <f>IFERROR(INDEX(Pairwise_Weights!$Q:$V,MATCH($A6,Pairwise_Weights!$A:$A,0),3),"")</f>
        <v/>
      </c>
      <c r="L6" s="8">
        <f>IFERROR(INDEX(Pairwise_Weights!$Q:$V,MATCH($A6,Pairwise_Weights!$A:$A,0),4),"")</f>
        <v/>
      </c>
      <c r="M6" s="8">
        <f>IFERROR(INDEX(Pairwise_Weights!$Q:$V,MATCH($A6,Pairwise_Weights!$A:$A,0),5),"")</f>
        <v/>
      </c>
      <c r="N6" s="8">
        <f>IFERROR(INDEX(Pairwise_Weights!$Q:$V,MATCH($A6,Pairwise_Weights!$A:$A,0),6),"")</f>
        <v/>
      </c>
      <c r="O6" s="8">
        <f>IF(OR(COUNT(C6:H6)&lt;6,SUM(I6:N6)&lt;&gt;15),"",SUMPRODUCT(C6:H6,I6:N6)/15)</f>
        <v/>
      </c>
      <c r="P6" s="8">
        <f>IF(COUNT(C6:H6)&lt;6,"",AVERAGE(C6:H6))</f>
        <v/>
      </c>
      <c r="Q6" s="8">
        <f>IF(P6="","",IF(P6&lt;10,"Very low",IF(P6&lt;30,"Low",IF(P6&lt;50,"Medium",IF(P6&lt;80,"High","Very high")))))</f>
        <v/>
      </c>
      <c r="R6" s="8">
        <f>IF(COUNT(C6:H6)&lt;6,"",INDEX(Subscale_Definitions!$B$2:$B$7,MATCH(MAX(C6:H6),C6:H6,0)))</f>
        <v/>
      </c>
    </row>
    <row r="7">
      <c r="A7" s="7">
        <f>TLX_Ratings!A7</f>
        <v/>
      </c>
      <c r="B7" s="7">
        <f>TLX_Ratings!B7</f>
        <v/>
      </c>
      <c r="C7" s="8">
        <f>IF(TLX_Ratings!D7="","",TLX_Ratings!D7)</f>
        <v/>
      </c>
      <c r="D7" s="8">
        <f>IF(TLX_Ratings!E7="","",TLX_Ratings!E7)</f>
        <v/>
      </c>
      <c r="E7" s="8">
        <f>IF(TLX_Ratings!F7="","",TLX_Ratings!F7)</f>
        <v/>
      </c>
      <c r="F7" s="8">
        <f>IF(TLX_Ratings!G7="","",TLX_Ratings!G7)</f>
        <v/>
      </c>
      <c r="G7" s="8">
        <f>IF(TLX_Ratings!H7="","",TLX_Ratings!H7)</f>
        <v/>
      </c>
      <c r="H7" s="8">
        <f>IF(TLX_Ratings!I7="","",TLX_Ratings!I7)</f>
        <v/>
      </c>
      <c r="I7" s="8">
        <f>IFERROR(INDEX(Pairwise_Weights!$Q:$V,MATCH($A7,Pairwise_Weights!$A:$A,0),1),"")</f>
        <v/>
      </c>
      <c r="J7" s="8">
        <f>IFERROR(INDEX(Pairwise_Weights!$Q:$V,MATCH($A7,Pairwise_Weights!$A:$A,0),2),"")</f>
        <v/>
      </c>
      <c r="K7" s="8">
        <f>IFERROR(INDEX(Pairwise_Weights!$Q:$V,MATCH($A7,Pairwise_Weights!$A:$A,0),3),"")</f>
        <v/>
      </c>
      <c r="L7" s="8">
        <f>IFERROR(INDEX(Pairwise_Weights!$Q:$V,MATCH($A7,Pairwise_Weights!$A:$A,0),4),"")</f>
        <v/>
      </c>
      <c r="M7" s="8">
        <f>IFERROR(INDEX(Pairwise_Weights!$Q:$V,MATCH($A7,Pairwise_Weights!$A:$A,0),5),"")</f>
        <v/>
      </c>
      <c r="N7" s="8">
        <f>IFERROR(INDEX(Pairwise_Weights!$Q:$V,MATCH($A7,Pairwise_Weights!$A:$A,0),6),"")</f>
        <v/>
      </c>
      <c r="O7" s="8">
        <f>IF(OR(COUNT(C7:H7)&lt;6,SUM(I7:N7)&lt;&gt;15),"",SUMPRODUCT(C7:H7,I7:N7)/15)</f>
        <v/>
      </c>
      <c r="P7" s="8">
        <f>IF(COUNT(C7:H7)&lt;6,"",AVERAGE(C7:H7))</f>
        <v/>
      </c>
      <c r="Q7" s="8">
        <f>IF(P7="","",IF(P7&lt;10,"Very low",IF(P7&lt;30,"Low",IF(P7&lt;50,"Medium",IF(P7&lt;80,"High","Very high")))))</f>
        <v/>
      </c>
      <c r="R7" s="8">
        <f>IF(COUNT(C7:H7)&lt;6,"",INDEX(Subscale_Definitions!$B$2:$B$7,MATCH(MAX(C7:H7),C7:H7,0)))</f>
        <v/>
      </c>
    </row>
    <row r="8">
      <c r="A8" s="7">
        <f>TLX_Ratings!A8</f>
        <v/>
      </c>
      <c r="B8" s="7">
        <f>TLX_Ratings!B8</f>
        <v/>
      </c>
      <c r="C8" s="8">
        <f>IF(TLX_Ratings!D8="","",TLX_Ratings!D8)</f>
        <v/>
      </c>
      <c r="D8" s="8">
        <f>IF(TLX_Ratings!E8="","",TLX_Ratings!E8)</f>
        <v/>
      </c>
      <c r="E8" s="8">
        <f>IF(TLX_Ratings!F8="","",TLX_Ratings!F8)</f>
        <v/>
      </c>
      <c r="F8" s="8">
        <f>IF(TLX_Ratings!G8="","",TLX_Ratings!G8)</f>
        <v/>
      </c>
      <c r="G8" s="8">
        <f>IF(TLX_Ratings!H8="","",TLX_Ratings!H8)</f>
        <v/>
      </c>
      <c r="H8" s="8">
        <f>IF(TLX_Ratings!I8="","",TLX_Ratings!I8)</f>
        <v/>
      </c>
      <c r="I8" s="8">
        <f>IFERROR(INDEX(Pairwise_Weights!$Q:$V,MATCH($A8,Pairwise_Weights!$A:$A,0),1),"")</f>
        <v/>
      </c>
      <c r="J8" s="8">
        <f>IFERROR(INDEX(Pairwise_Weights!$Q:$V,MATCH($A8,Pairwise_Weights!$A:$A,0),2),"")</f>
        <v/>
      </c>
      <c r="K8" s="8">
        <f>IFERROR(INDEX(Pairwise_Weights!$Q:$V,MATCH($A8,Pairwise_Weights!$A:$A,0),3),"")</f>
        <v/>
      </c>
      <c r="L8" s="8">
        <f>IFERROR(INDEX(Pairwise_Weights!$Q:$V,MATCH($A8,Pairwise_Weights!$A:$A,0),4),"")</f>
        <v/>
      </c>
      <c r="M8" s="8">
        <f>IFERROR(INDEX(Pairwise_Weights!$Q:$V,MATCH($A8,Pairwise_Weights!$A:$A,0),5),"")</f>
        <v/>
      </c>
      <c r="N8" s="8">
        <f>IFERROR(INDEX(Pairwise_Weights!$Q:$V,MATCH($A8,Pairwise_Weights!$A:$A,0),6),"")</f>
        <v/>
      </c>
      <c r="O8" s="8">
        <f>IF(OR(COUNT(C8:H8)&lt;6,SUM(I8:N8)&lt;&gt;15),"",SUMPRODUCT(C8:H8,I8:N8)/15)</f>
        <v/>
      </c>
      <c r="P8" s="8">
        <f>IF(COUNT(C8:H8)&lt;6,"",AVERAGE(C8:H8))</f>
        <v/>
      </c>
      <c r="Q8" s="8">
        <f>IF(P8="","",IF(P8&lt;10,"Very low",IF(P8&lt;30,"Low",IF(P8&lt;50,"Medium",IF(P8&lt;80,"High","Very high")))))</f>
        <v/>
      </c>
      <c r="R8" s="8">
        <f>IF(COUNT(C8:H8)&lt;6,"",INDEX(Subscale_Definitions!$B$2:$B$7,MATCH(MAX(C8:H8),C8:H8,0)))</f>
        <v/>
      </c>
    </row>
    <row r="9">
      <c r="A9" s="7">
        <f>TLX_Ratings!A9</f>
        <v/>
      </c>
      <c r="B9" s="7">
        <f>TLX_Ratings!B9</f>
        <v/>
      </c>
      <c r="C9" s="8">
        <f>IF(TLX_Ratings!D9="","",TLX_Ratings!D9)</f>
        <v/>
      </c>
      <c r="D9" s="8">
        <f>IF(TLX_Ratings!E9="","",TLX_Ratings!E9)</f>
        <v/>
      </c>
      <c r="E9" s="8">
        <f>IF(TLX_Ratings!F9="","",TLX_Ratings!F9)</f>
        <v/>
      </c>
      <c r="F9" s="8">
        <f>IF(TLX_Ratings!G9="","",TLX_Ratings!G9)</f>
        <v/>
      </c>
      <c r="G9" s="8">
        <f>IF(TLX_Ratings!H9="","",TLX_Ratings!H9)</f>
        <v/>
      </c>
      <c r="H9" s="8">
        <f>IF(TLX_Ratings!I9="","",TLX_Ratings!I9)</f>
        <v/>
      </c>
      <c r="I9" s="8">
        <f>IFERROR(INDEX(Pairwise_Weights!$Q:$V,MATCH($A9,Pairwise_Weights!$A:$A,0),1),"")</f>
        <v/>
      </c>
      <c r="J9" s="8">
        <f>IFERROR(INDEX(Pairwise_Weights!$Q:$V,MATCH($A9,Pairwise_Weights!$A:$A,0),2),"")</f>
        <v/>
      </c>
      <c r="K9" s="8">
        <f>IFERROR(INDEX(Pairwise_Weights!$Q:$V,MATCH($A9,Pairwise_Weights!$A:$A,0),3),"")</f>
        <v/>
      </c>
      <c r="L9" s="8">
        <f>IFERROR(INDEX(Pairwise_Weights!$Q:$V,MATCH($A9,Pairwise_Weights!$A:$A,0),4),"")</f>
        <v/>
      </c>
      <c r="M9" s="8">
        <f>IFERROR(INDEX(Pairwise_Weights!$Q:$V,MATCH($A9,Pairwise_Weights!$A:$A,0),5),"")</f>
        <v/>
      </c>
      <c r="N9" s="8">
        <f>IFERROR(INDEX(Pairwise_Weights!$Q:$V,MATCH($A9,Pairwise_Weights!$A:$A,0),6),"")</f>
        <v/>
      </c>
      <c r="O9" s="8">
        <f>IF(OR(COUNT(C9:H9)&lt;6,SUM(I9:N9)&lt;&gt;15),"",SUMPRODUCT(C9:H9,I9:N9)/15)</f>
        <v/>
      </c>
      <c r="P9" s="8">
        <f>IF(COUNT(C9:H9)&lt;6,"",AVERAGE(C9:H9))</f>
        <v/>
      </c>
      <c r="Q9" s="8">
        <f>IF(P9="","",IF(P9&lt;10,"Very low",IF(P9&lt;30,"Low",IF(P9&lt;50,"Medium",IF(P9&lt;80,"High","Very high")))))</f>
        <v/>
      </c>
      <c r="R9" s="8">
        <f>IF(COUNT(C9:H9)&lt;6,"",INDEX(Subscale_Definitions!$B$2:$B$7,MATCH(MAX(C9:H9),C9:H9,0)))</f>
        <v/>
      </c>
    </row>
    <row r="10">
      <c r="A10" s="7">
        <f>TLX_Ratings!A10</f>
        <v/>
      </c>
      <c r="B10" s="7">
        <f>TLX_Ratings!B10</f>
        <v/>
      </c>
      <c r="C10" s="8">
        <f>IF(TLX_Ratings!D10="","",TLX_Ratings!D10)</f>
        <v/>
      </c>
      <c r="D10" s="8">
        <f>IF(TLX_Ratings!E10="","",TLX_Ratings!E10)</f>
        <v/>
      </c>
      <c r="E10" s="8">
        <f>IF(TLX_Ratings!F10="","",TLX_Ratings!F10)</f>
        <v/>
      </c>
      <c r="F10" s="8">
        <f>IF(TLX_Ratings!G10="","",TLX_Ratings!G10)</f>
        <v/>
      </c>
      <c r="G10" s="8">
        <f>IF(TLX_Ratings!H10="","",TLX_Ratings!H10)</f>
        <v/>
      </c>
      <c r="H10" s="8">
        <f>IF(TLX_Ratings!I10="","",TLX_Ratings!I10)</f>
        <v/>
      </c>
      <c r="I10" s="8">
        <f>IFERROR(INDEX(Pairwise_Weights!$Q:$V,MATCH($A10,Pairwise_Weights!$A:$A,0),1),"")</f>
        <v/>
      </c>
      <c r="J10" s="8">
        <f>IFERROR(INDEX(Pairwise_Weights!$Q:$V,MATCH($A10,Pairwise_Weights!$A:$A,0),2),"")</f>
        <v/>
      </c>
      <c r="K10" s="8">
        <f>IFERROR(INDEX(Pairwise_Weights!$Q:$V,MATCH($A10,Pairwise_Weights!$A:$A,0),3),"")</f>
        <v/>
      </c>
      <c r="L10" s="8">
        <f>IFERROR(INDEX(Pairwise_Weights!$Q:$V,MATCH($A10,Pairwise_Weights!$A:$A,0),4),"")</f>
        <v/>
      </c>
      <c r="M10" s="8">
        <f>IFERROR(INDEX(Pairwise_Weights!$Q:$V,MATCH($A10,Pairwise_Weights!$A:$A,0),5),"")</f>
        <v/>
      </c>
      <c r="N10" s="8">
        <f>IFERROR(INDEX(Pairwise_Weights!$Q:$V,MATCH($A10,Pairwise_Weights!$A:$A,0),6),"")</f>
        <v/>
      </c>
      <c r="O10" s="8">
        <f>IF(OR(COUNT(C10:H10)&lt;6,SUM(I10:N10)&lt;&gt;15),"",SUMPRODUCT(C10:H10,I10:N10)/15)</f>
        <v/>
      </c>
      <c r="P10" s="8">
        <f>IF(COUNT(C10:H10)&lt;6,"",AVERAGE(C10:H10))</f>
        <v/>
      </c>
      <c r="Q10" s="8">
        <f>IF(P10="","",IF(P10&lt;10,"Very low",IF(P10&lt;30,"Low",IF(P10&lt;50,"Medium",IF(P10&lt;80,"High","Very high")))))</f>
        <v/>
      </c>
      <c r="R10" s="8">
        <f>IF(COUNT(C10:H10)&lt;6,"",INDEX(Subscale_Definitions!$B$2:$B$7,MATCH(MAX(C10:H10),C10:H10,0)))</f>
        <v/>
      </c>
    </row>
    <row r="11">
      <c r="A11" s="7">
        <f>TLX_Ratings!A11</f>
        <v/>
      </c>
      <c r="B11" s="7">
        <f>TLX_Ratings!B11</f>
        <v/>
      </c>
      <c r="C11" s="8">
        <f>IF(TLX_Ratings!D11="","",TLX_Ratings!D11)</f>
        <v/>
      </c>
      <c r="D11" s="8">
        <f>IF(TLX_Ratings!E11="","",TLX_Ratings!E11)</f>
        <v/>
      </c>
      <c r="E11" s="8">
        <f>IF(TLX_Ratings!F11="","",TLX_Ratings!F11)</f>
        <v/>
      </c>
      <c r="F11" s="8">
        <f>IF(TLX_Ratings!G11="","",TLX_Ratings!G11)</f>
        <v/>
      </c>
      <c r="G11" s="8">
        <f>IF(TLX_Ratings!H11="","",TLX_Ratings!H11)</f>
        <v/>
      </c>
      <c r="H11" s="8">
        <f>IF(TLX_Ratings!I11="","",TLX_Ratings!I11)</f>
        <v/>
      </c>
      <c r="I11" s="8">
        <f>IFERROR(INDEX(Pairwise_Weights!$Q:$V,MATCH($A11,Pairwise_Weights!$A:$A,0),1),"")</f>
        <v/>
      </c>
      <c r="J11" s="8">
        <f>IFERROR(INDEX(Pairwise_Weights!$Q:$V,MATCH($A11,Pairwise_Weights!$A:$A,0),2),"")</f>
        <v/>
      </c>
      <c r="K11" s="8">
        <f>IFERROR(INDEX(Pairwise_Weights!$Q:$V,MATCH($A11,Pairwise_Weights!$A:$A,0),3),"")</f>
        <v/>
      </c>
      <c r="L11" s="8">
        <f>IFERROR(INDEX(Pairwise_Weights!$Q:$V,MATCH($A11,Pairwise_Weights!$A:$A,0),4),"")</f>
        <v/>
      </c>
      <c r="M11" s="8">
        <f>IFERROR(INDEX(Pairwise_Weights!$Q:$V,MATCH($A11,Pairwise_Weights!$A:$A,0),5),"")</f>
        <v/>
      </c>
      <c r="N11" s="8">
        <f>IFERROR(INDEX(Pairwise_Weights!$Q:$V,MATCH($A11,Pairwise_Weights!$A:$A,0),6),"")</f>
        <v/>
      </c>
      <c r="O11" s="8">
        <f>IF(OR(COUNT(C11:H11)&lt;6,SUM(I11:N11)&lt;&gt;15),"",SUMPRODUCT(C11:H11,I11:N11)/15)</f>
        <v/>
      </c>
      <c r="P11" s="8">
        <f>IF(COUNT(C11:H11)&lt;6,"",AVERAGE(C11:H11))</f>
        <v/>
      </c>
      <c r="Q11" s="8">
        <f>IF(P11="","",IF(P11&lt;10,"Very low",IF(P11&lt;30,"Low",IF(P11&lt;50,"Medium",IF(P11&lt;80,"High","Very high")))))</f>
        <v/>
      </c>
      <c r="R11" s="8">
        <f>IF(COUNT(C11:H11)&lt;6,"",INDEX(Subscale_Definitions!$B$2:$B$7,MATCH(MAX(C11:H11),C11:H11,0)))</f>
        <v/>
      </c>
    </row>
    <row r="12">
      <c r="A12" s="7">
        <f>TLX_Ratings!A12</f>
        <v/>
      </c>
      <c r="B12" s="7">
        <f>TLX_Ratings!B12</f>
        <v/>
      </c>
      <c r="C12" s="8">
        <f>IF(TLX_Ratings!D12="","",TLX_Ratings!D12)</f>
        <v/>
      </c>
      <c r="D12" s="8">
        <f>IF(TLX_Ratings!E12="","",TLX_Ratings!E12)</f>
        <v/>
      </c>
      <c r="E12" s="8">
        <f>IF(TLX_Ratings!F12="","",TLX_Ratings!F12)</f>
        <v/>
      </c>
      <c r="F12" s="8">
        <f>IF(TLX_Ratings!G12="","",TLX_Ratings!G12)</f>
        <v/>
      </c>
      <c r="G12" s="8">
        <f>IF(TLX_Ratings!H12="","",TLX_Ratings!H12)</f>
        <v/>
      </c>
      <c r="H12" s="8">
        <f>IF(TLX_Ratings!I12="","",TLX_Ratings!I12)</f>
        <v/>
      </c>
      <c r="I12" s="8">
        <f>IFERROR(INDEX(Pairwise_Weights!$Q:$V,MATCH($A12,Pairwise_Weights!$A:$A,0),1),"")</f>
        <v/>
      </c>
      <c r="J12" s="8">
        <f>IFERROR(INDEX(Pairwise_Weights!$Q:$V,MATCH($A12,Pairwise_Weights!$A:$A,0),2),"")</f>
        <v/>
      </c>
      <c r="K12" s="8">
        <f>IFERROR(INDEX(Pairwise_Weights!$Q:$V,MATCH($A12,Pairwise_Weights!$A:$A,0),3),"")</f>
        <v/>
      </c>
      <c r="L12" s="8">
        <f>IFERROR(INDEX(Pairwise_Weights!$Q:$V,MATCH($A12,Pairwise_Weights!$A:$A,0),4),"")</f>
        <v/>
      </c>
      <c r="M12" s="8">
        <f>IFERROR(INDEX(Pairwise_Weights!$Q:$V,MATCH($A12,Pairwise_Weights!$A:$A,0),5),"")</f>
        <v/>
      </c>
      <c r="N12" s="8">
        <f>IFERROR(INDEX(Pairwise_Weights!$Q:$V,MATCH($A12,Pairwise_Weights!$A:$A,0),6),"")</f>
        <v/>
      </c>
      <c r="O12" s="8">
        <f>IF(OR(COUNT(C12:H12)&lt;6,SUM(I12:N12)&lt;&gt;15),"",SUMPRODUCT(C12:H12,I12:N12)/15)</f>
        <v/>
      </c>
      <c r="P12" s="8">
        <f>IF(COUNT(C12:H12)&lt;6,"",AVERAGE(C12:H12))</f>
        <v/>
      </c>
      <c r="Q12" s="8">
        <f>IF(P12="","",IF(P12&lt;10,"Very low",IF(P12&lt;30,"Low",IF(P12&lt;50,"Medium",IF(P12&lt;80,"High","Very high")))))</f>
        <v/>
      </c>
      <c r="R12" s="8">
        <f>IF(COUNT(C12:H12)&lt;6,"",INDEX(Subscale_Definitions!$B$2:$B$7,MATCH(MAX(C12:H12),C12:H12,0)))</f>
        <v/>
      </c>
    </row>
    <row r="13">
      <c r="A13" s="7">
        <f>TLX_Ratings!A13</f>
        <v/>
      </c>
      <c r="B13" s="7">
        <f>TLX_Ratings!B13</f>
        <v/>
      </c>
      <c r="C13" s="8">
        <f>IF(TLX_Ratings!D13="","",TLX_Ratings!D13)</f>
        <v/>
      </c>
      <c r="D13" s="8">
        <f>IF(TLX_Ratings!E13="","",TLX_Ratings!E13)</f>
        <v/>
      </c>
      <c r="E13" s="8">
        <f>IF(TLX_Ratings!F13="","",TLX_Ratings!F13)</f>
        <v/>
      </c>
      <c r="F13" s="8">
        <f>IF(TLX_Ratings!G13="","",TLX_Ratings!G13)</f>
        <v/>
      </c>
      <c r="G13" s="8">
        <f>IF(TLX_Ratings!H13="","",TLX_Ratings!H13)</f>
        <v/>
      </c>
      <c r="H13" s="8">
        <f>IF(TLX_Ratings!I13="","",TLX_Ratings!I13)</f>
        <v/>
      </c>
      <c r="I13" s="8">
        <f>IFERROR(INDEX(Pairwise_Weights!$Q:$V,MATCH($A13,Pairwise_Weights!$A:$A,0),1),"")</f>
        <v/>
      </c>
      <c r="J13" s="8">
        <f>IFERROR(INDEX(Pairwise_Weights!$Q:$V,MATCH($A13,Pairwise_Weights!$A:$A,0),2),"")</f>
        <v/>
      </c>
      <c r="K13" s="8">
        <f>IFERROR(INDEX(Pairwise_Weights!$Q:$V,MATCH($A13,Pairwise_Weights!$A:$A,0),3),"")</f>
        <v/>
      </c>
      <c r="L13" s="8">
        <f>IFERROR(INDEX(Pairwise_Weights!$Q:$V,MATCH($A13,Pairwise_Weights!$A:$A,0),4),"")</f>
        <v/>
      </c>
      <c r="M13" s="8">
        <f>IFERROR(INDEX(Pairwise_Weights!$Q:$V,MATCH($A13,Pairwise_Weights!$A:$A,0),5),"")</f>
        <v/>
      </c>
      <c r="N13" s="8">
        <f>IFERROR(INDEX(Pairwise_Weights!$Q:$V,MATCH($A13,Pairwise_Weights!$A:$A,0),6),"")</f>
        <v/>
      </c>
      <c r="O13" s="8">
        <f>IF(OR(COUNT(C13:H13)&lt;6,SUM(I13:N13)&lt;&gt;15),"",SUMPRODUCT(C13:H13,I13:N13)/15)</f>
        <v/>
      </c>
      <c r="P13" s="8">
        <f>IF(COUNT(C13:H13)&lt;6,"",AVERAGE(C13:H13))</f>
        <v/>
      </c>
      <c r="Q13" s="8">
        <f>IF(P13="","",IF(P13&lt;10,"Very low",IF(P13&lt;30,"Low",IF(P13&lt;50,"Medium",IF(P13&lt;80,"High","Very high")))))</f>
        <v/>
      </c>
      <c r="R13" s="8">
        <f>IF(COUNT(C13:H13)&lt;6,"",INDEX(Subscale_Definitions!$B$2:$B$7,MATCH(MAX(C13:H13),C13:H13,0)))</f>
        <v/>
      </c>
    </row>
    <row r="14">
      <c r="A14" s="7">
        <f>TLX_Ratings!A14</f>
        <v/>
      </c>
      <c r="B14" s="7">
        <f>TLX_Ratings!B14</f>
        <v/>
      </c>
      <c r="C14" s="8">
        <f>IF(TLX_Ratings!D14="","",TLX_Ratings!D14)</f>
        <v/>
      </c>
      <c r="D14" s="8">
        <f>IF(TLX_Ratings!E14="","",TLX_Ratings!E14)</f>
        <v/>
      </c>
      <c r="E14" s="8">
        <f>IF(TLX_Ratings!F14="","",TLX_Ratings!F14)</f>
        <v/>
      </c>
      <c r="F14" s="8">
        <f>IF(TLX_Ratings!G14="","",TLX_Ratings!G14)</f>
        <v/>
      </c>
      <c r="G14" s="8">
        <f>IF(TLX_Ratings!H14="","",TLX_Ratings!H14)</f>
        <v/>
      </c>
      <c r="H14" s="8">
        <f>IF(TLX_Ratings!I14="","",TLX_Ratings!I14)</f>
        <v/>
      </c>
      <c r="I14" s="8">
        <f>IFERROR(INDEX(Pairwise_Weights!$Q:$V,MATCH($A14,Pairwise_Weights!$A:$A,0),1),"")</f>
        <v/>
      </c>
      <c r="J14" s="8">
        <f>IFERROR(INDEX(Pairwise_Weights!$Q:$V,MATCH($A14,Pairwise_Weights!$A:$A,0),2),"")</f>
        <v/>
      </c>
      <c r="K14" s="8">
        <f>IFERROR(INDEX(Pairwise_Weights!$Q:$V,MATCH($A14,Pairwise_Weights!$A:$A,0),3),"")</f>
        <v/>
      </c>
      <c r="L14" s="8">
        <f>IFERROR(INDEX(Pairwise_Weights!$Q:$V,MATCH($A14,Pairwise_Weights!$A:$A,0),4),"")</f>
        <v/>
      </c>
      <c r="M14" s="8">
        <f>IFERROR(INDEX(Pairwise_Weights!$Q:$V,MATCH($A14,Pairwise_Weights!$A:$A,0),5),"")</f>
        <v/>
      </c>
      <c r="N14" s="8">
        <f>IFERROR(INDEX(Pairwise_Weights!$Q:$V,MATCH($A14,Pairwise_Weights!$A:$A,0),6),"")</f>
        <v/>
      </c>
      <c r="O14" s="8">
        <f>IF(OR(COUNT(C14:H14)&lt;6,SUM(I14:N14)&lt;&gt;15),"",SUMPRODUCT(C14:H14,I14:N14)/15)</f>
        <v/>
      </c>
      <c r="P14" s="8">
        <f>IF(COUNT(C14:H14)&lt;6,"",AVERAGE(C14:H14))</f>
        <v/>
      </c>
      <c r="Q14" s="8">
        <f>IF(P14="","",IF(P14&lt;10,"Very low",IF(P14&lt;30,"Low",IF(P14&lt;50,"Medium",IF(P14&lt;80,"High","Very high")))))</f>
        <v/>
      </c>
      <c r="R14" s="8">
        <f>IF(COUNT(C14:H14)&lt;6,"",INDEX(Subscale_Definitions!$B$2:$B$7,MATCH(MAX(C14:H14),C14:H14,0)))</f>
        <v/>
      </c>
    </row>
    <row r="15">
      <c r="A15" s="7">
        <f>TLX_Ratings!A15</f>
        <v/>
      </c>
      <c r="B15" s="7">
        <f>TLX_Ratings!B15</f>
        <v/>
      </c>
      <c r="C15" s="8">
        <f>IF(TLX_Ratings!D15="","",TLX_Ratings!D15)</f>
        <v/>
      </c>
      <c r="D15" s="8">
        <f>IF(TLX_Ratings!E15="","",TLX_Ratings!E15)</f>
        <v/>
      </c>
      <c r="E15" s="8">
        <f>IF(TLX_Ratings!F15="","",TLX_Ratings!F15)</f>
        <v/>
      </c>
      <c r="F15" s="8">
        <f>IF(TLX_Ratings!G15="","",TLX_Ratings!G15)</f>
        <v/>
      </c>
      <c r="G15" s="8">
        <f>IF(TLX_Ratings!H15="","",TLX_Ratings!H15)</f>
        <v/>
      </c>
      <c r="H15" s="8">
        <f>IF(TLX_Ratings!I15="","",TLX_Ratings!I15)</f>
        <v/>
      </c>
      <c r="I15" s="8">
        <f>IFERROR(INDEX(Pairwise_Weights!$Q:$V,MATCH($A15,Pairwise_Weights!$A:$A,0),1),"")</f>
        <v/>
      </c>
      <c r="J15" s="8">
        <f>IFERROR(INDEX(Pairwise_Weights!$Q:$V,MATCH($A15,Pairwise_Weights!$A:$A,0),2),"")</f>
        <v/>
      </c>
      <c r="K15" s="8">
        <f>IFERROR(INDEX(Pairwise_Weights!$Q:$V,MATCH($A15,Pairwise_Weights!$A:$A,0),3),"")</f>
        <v/>
      </c>
      <c r="L15" s="8">
        <f>IFERROR(INDEX(Pairwise_Weights!$Q:$V,MATCH($A15,Pairwise_Weights!$A:$A,0),4),"")</f>
        <v/>
      </c>
      <c r="M15" s="8">
        <f>IFERROR(INDEX(Pairwise_Weights!$Q:$V,MATCH($A15,Pairwise_Weights!$A:$A,0),5),"")</f>
        <v/>
      </c>
      <c r="N15" s="8">
        <f>IFERROR(INDEX(Pairwise_Weights!$Q:$V,MATCH($A15,Pairwise_Weights!$A:$A,0),6),"")</f>
        <v/>
      </c>
      <c r="O15" s="8">
        <f>IF(OR(COUNT(C15:H15)&lt;6,SUM(I15:N15)&lt;&gt;15),"",SUMPRODUCT(C15:H15,I15:N15)/15)</f>
        <v/>
      </c>
      <c r="P15" s="8">
        <f>IF(COUNT(C15:H15)&lt;6,"",AVERAGE(C15:H15))</f>
        <v/>
      </c>
      <c r="Q15" s="8">
        <f>IF(P15="","",IF(P15&lt;10,"Very low",IF(P15&lt;30,"Low",IF(P15&lt;50,"Medium",IF(P15&lt;80,"High","Very high")))))</f>
        <v/>
      </c>
      <c r="R15" s="8">
        <f>IF(COUNT(C15:H15)&lt;6,"",INDEX(Subscale_Definitions!$B$2:$B$7,MATCH(MAX(C15:H15),C15:H15,0)))</f>
        <v/>
      </c>
    </row>
    <row r="16">
      <c r="A16" s="7">
        <f>TLX_Ratings!A16</f>
        <v/>
      </c>
      <c r="B16" s="7">
        <f>TLX_Ratings!B16</f>
        <v/>
      </c>
      <c r="C16" s="8">
        <f>IF(TLX_Ratings!D16="","",TLX_Ratings!D16)</f>
        <v/>
      </c>
      <c r="D16" s="8">
        <f>IF(TLX_Ratings!E16="","",TLX_Ratings!E16)</f>
        <v/>
      </c>
      <c r="E16" s="8">
        <f>IF(TLX_Ratings!F16="","",TLX_Ratings!F16)</f>
        <v/>
      </c>
      <c r="F16" s="8">
        <f>IF(TLX_Ratings!G16="","",TLX_Ratings!G16)</f>
        <v/>
      </c>
      <c r="G16" s="8">
        <f>IF(TLX_Ratings!H16="","",TLX_Ratings!H16)</f>
        <v/>
      </c>
      <c r="H16" s="8">
        <f>IF(TLX_Ratings!I16="","",TLX_Ratings!I16)</f>
        <v/>
      </c>
      <c r="I16" s="8">
        <f>IFERROR(INDEX(Pairwise_Weights!$Q:$V,MATCH($A16,Pairwise_Weights!$A:$A,0),1),"")</f>
        <v/>
      </c>
      <c r="J16" s="8">
        <f>IFERROR(INDEX(Pairwise_Weights!$Q:$V,MATCH($A16,Pairwise_Weights!$A:$A,0),2),"")</f>
        <v/>
      </c>
      <c r="K16" s="8">
        <f>IFERROR(INDEX(Pairwise_Weights!$Q:$V,MATCH($A16,Pairwise_Weights!$A:$A,0),3),"")</f>
        <v/>
      </c>
      <c r="L16" s="8">
        <f>IFERROR(INDEX(Pairwise_Weights!$Q:$V,MATCH($A16,Pairwise_Weights!$A:$A,0),4),"")</f>
        <v/>
      </c>
      <c r="M16" s="8">
        <f>IFERROR(INDEX(Pairwise_Weights!$Q:$V,MATCH($A16,Pairwise_Weights!$A:$A,0),5),"")</f>
        <v/>
      </c>
      <c r="N16" s="8">
        <f>IFERROR(INDEX(Pairwise_Weights!$Q:$V,MATCH($A16,Pairwise_Weights!$A:$A,0),6),"")</f>
        <v/>
      </c>
      <c r="O16" s="8">
        <f>IF(OR(COUNT(C16:H16)&lt;6,SUM(I16:N16)&lt;&gt;15),"",SUMPRODUCT(C16:H16,I16:N16)/15)</f>
        <v/>
      </c>
      <c r="P16" s="8">
        <f>IF(COUNT(C16:H16)&lt;6,"",AVERAGE(C16:H16))</f>
        <v/>
      </c>
      <c r="Q16" s="8">
        <f>IF(P16="","",IF(P16&lt;10,"Very low",IF(P16&lt;30,"Low",IF(P16&lt;50,"Medium",IF(P16&lt;80,"High","Very high")))))</f>
        <v/>
      </c>
      <c r="R16" s="8">
        <f>IF(COUNT(C16:H16)&lt;6,"",INDEX(Subscale_Definitions!$B$2:$B$7,MATCH(MAX(C16:H16),C16:H16,0)))</f>
        <v/>
      </c>
    </row>
    <row r="17">
      <c r="A17" s="7">
        <f>TLX_Ratings!A17</f>
        <v/>
      </c>
      <c r="B17" s="7">
        <f>TLX_Ratings!B17</f>
        <v/>
      </c>
      <c r="C17" s="8">
        <f>IF(TLX_Ratings!D17="","",TLX_Ratings!D17)</f>
        <v/>
      </c>
      <c r="D17" s="8">
        <f>IF(TLX_Ratings!E17="","",TLX_Ratings!E17)</f>
        <v/>
      </c>
      <c r="E17" s="8">
        <f>IF(TLX_Ratings!F17="","",TLX_Ratings!F17)</f>
        <v/>
      </c>
      <c r="F17" s="8">
        <f>IF(TLX_Ratings!G17="","",TLX_Ratings!G17)</f>
        <v/>
      </c>
      <c r="G17" s="8">
        <f>IF(TLX_Ratings!H17="","",TLX_Ratings!H17)</f>
        <v/>
      </c>
      <c r="H17" s="8">
        <f>IF(TLX_Ratings!I17="","",TLX_Ratings!I17)</f>
        <v/>
      </c>
      <c r="I17" s="8">
        <f>IFERROR(INDEX(Pairwise_Weights!$Q:$V,MATCH($A17,Pairwise_Weights!$A:$A,0),1),"")</f>
        <v/>
      </c>
      <c r="J17" s="8">
        <f>IFERROR(INDEX(Pairwise_Weights!$Q:$V,MATCH($A17,Pairwise_Weights!$A:$A,0),2),"")</f>
        <v/>
      </c>
      <c r="K17" s="8">
        <f>IFERROR(INDEX(Pairwise_Weights!$Q:$V,MATCH($A17,Pairwise_Weights!$A:$A,0),3),"")</f>
        <v/>
      </c>
      <c r="L17" s="8">
        <f>IFERROR(INDEX(Pairwise_Weights!$Q:$V,MATCH($A17,Pairwise_Weights!$A:$A,0),4),"")</f>
        <v/>
      </c>
      <c r="M17" s="8">
        <f>IFERROR(INDEX(Pairwise_Weights!$Q:$V,MATCH($A17,Pairwise_Weights!$A:$A,0),5),"")</f>
        <v/>
      </c>
      <c r="N17" s="8">
        <f>IFERROR(INDEX(Pairwise_Weights!$Q:$V,MATCH($A17,Pairwise_Weights!$A:$A,0),6),"")</f>
        <v/>
      </c>
      <c r="O17" s="8">
        <f>IF(OR(COUNT(C17:H17)&lt;6,SUM(I17:N17)&lt;&gt;15),"",SUMPRODUCT(C17:H17,I17:N17)/15)</f>
        <v/>
      </c>
      <c r="P17" s="8">
        <f>IF(COUNT(C17:H17)&lt;6,"",AVERAGE(C17:H17))</f>
        <v/>
      </c>
      <c r="Q17" s="8">
        <f>IF(P17="","",IF(P17&lt;10,"Very low",IF(P17&lt;30,"Low",IF(P17&lt;50,"Medium",IF(P17&lt;80,"High","Very high")))))</f>
        <v/>
      </c>
      <c r="R17" s="8">
        <f>IF(COUNT(C17:H17)&lt;6,"",INDEX(Subscale_Definitions!$B$2:$B$7,MATCH(MAX(C17:H17),C17:H17,0)))</f>
        <v/>
      </c>
    </row>
    <row r="18">
      <c r="A18" s="7">
        <f>TLX_Ratings!A18</f>
        <v/>
      </c>
      <c r="B18" s="7">
        <f>TLX_Ratings!B18</f>
        <v/>
      </c>
      <c r="C18" s="8">
        <f>IF(TLX_Ratings!D18="","",TLX_Ratings!D18)</f>
        <v/>
      </c>
      <c r="D18" s="8">
        <f>IF(TLX_Ratings!E18="","",TLX_Ratings!E18)</f>
        <v/>
      </c>
      <c r="E18" s="8">
        <f>IF(TLX_Ratings!F18="","",TLX_Ratings!F18)</f>
        <v/>
      </c>
      <c r="F18" s="8">
        <f>IF(TLX_Ratings!G18="","",TLX_Ratings!G18)</f>
        <v/>
      </c>
      <c r="G18" s="8">
        <f>IF(TLX_Ratings!H18="","",TLX_Ratings!H18)</f>
        <v/>
      </c>
      <c r="H18" s="8">
        <f>IF(TLX_Ratings!I18="","",TLX_Ratings!I18)</f>
        <v/>
      </c>
      <c r="I18" s="8">
        <f>IFERROR(INDEX(Pairwise_Weights!$Q:$V,MATCH($A18,Pairwise_Weights!$A:$A,0),1),"")</f>
        <v/>
      </c>
      <c r="J18" s="8">
        <f>IFERROR(INDEX(Pairwise_Weights!$Q:$V,MATCH($A18,Pairwise_Weights!$A:$A,0),2),"")</f>
        <v/>
      </c>
      <c r="K18" s="8">
        <f>IFERROR(INDEX(Pairwise_Weights!$Q:$V,MATCH($A18,Pairwise_Weights!$A:$A,0),3),"")</f>
        <v/>
      </c>
      <c r="L18" s="8">
        <f>IFERROR(INDEX(Pairwise_Weights!$Q:$V,MATCH($A18,Pairwise_Weights!$A:$A,0),4),"")</f>
        <v/>
      </c>
      <c r="M18" s="8">
        <f>IFERROR(INDEX(Pairwise_Weights!$Q:$V,MATCH($A18,Pairwise_Weights!$A:$A,0),5),"")</f>
        <v/>
      </c>
      <c r="N18" s="8">
        <f>IFERROR(INDEX(Pairwise_Weights!$Q:$V,MATCH($A18,Pairwise_Weights!$A:$A,0),6),"")</f>
        <v/>
      </c>
      <c r="O18" s="8">
        <f>IF(OR(COUNT(C18:H18)&lt;6,SUM(I18:N18)&lt;&gt;15),"",SUMPRODUCT(C18:H18,I18:N18)/15)</f>
        <v/>
      </c>
      <c r="P18" s="8">
        <f>IF(COUNT(C18:H18)&lt;6,"",AVERAGE(C18:H18))</f>
        <v/>
      </c>
      <c r="Q18" s="8">
        <f>IF(P18="","",IF(P18&lt;10,"Very low",IF(P18&lt;30,"Low",IF(P18&lt;50,"Medium",IF(P18&lt;80,"High","Very high")))))</f>
        <v/>
      </c>
      <c r="R18" s="8">
        <f>IF(COUNT(C18:H18)&lt;6,"",INDEX(Subscale_Definitions!$B$2:$B$7,MATCH(MAX(C18:H18),C18:H18,0)))</f>
        <v/>
      </c>
    </row>
    <row r="19">
      <c r="A19" s="7">
        <f>TLX_Ratings!A19</f>
        <v/>
      </c>
      <c r="B19" s="7">
        <f>TLX_Ratings!B19</f>
        <v/>
      </c>
      <c r="C19" s="8">
        <f>IF(TLX_Ratings!D19="","",TLX_Ratings!D19)</f>
        <v/>
      </c>
      <c r="D19" s="8">
        <f>IF(TLX_Ratings!E19="","",TLX_Ratings!E19)</f>
        <v/>
      </c>
      <c r="E19" s="8">
        <f>IF(TLX_Ratings!F19="","",TLX_Ratings!F19)</f>
        <v/>
      </c>
      <c r="F19" s="8">
        <f>IF(TLX_Ratings!G19="","",TLX_Ratings!G19)</f>
        <v/>
      </c>
      <c r="G19" s="8">
        <f>IF(TLX_Ratings!H19="","",TLX_Ratings!H19)</f>
        <v/>
      </c>
      <c r="H19" s="8">
        <f>IF(TLX_Ratings!I19="","",TLX_Ratings!I19)</f>
        <v/>
      </c>
      <c r="I19" s="8">
        <f>IFERROR(INDEX(Pairwise_Weights!$Q:$V,MATCH($A19,Pairwise_Weights!$A:$A,0),1),"")</f>
        <v/>
      </c>
      <c r="J19" s="8">
        <f>IFERROR(INDEX(Pairwise_Weights!$Q:$V,MATCH($A19,Pairwise_Weights!$A:$A,0),2),"")</f>
        <v/>
      </c>
      <c r="K19" s="8">
        <f>IFERROR(INDEX(Pairwise_Weights!$Q:$V,MATCH($A19,Pairwise_Weights!$A:$A,0),3),"")</f>
        <v/>
      </c>
      <c r="L19" s="8">
        <f>IFERROR(INDEX(Pairwise_Weights!$Q:$V,MATCH($A19,Pairwise_Weights!$A:$A,0),4),"")</f>
        <v/>
      </c>
      <c r="M19" s="8">
        <f>IFERROR(INDEX(Pairwise_Weights!$Q:$V,MATCH($A19,Pairwise_Weights!$A:$A,0),5),"")</f>
        <v/>
      </c>
      <c r="N19" s="8">
        <f>IFERROR(INDEX(Pairwise_Weights!$Q:$V,MATCH($A19,Pairwise_Weights!$A:$A,0),6),"")</f>
        <v/>
      </c>
      <c r="O19" s="8">
        <f>IF(OR(COUNT(C19:H19)&lt;6,SUM(I19:N19)&lt;&gt;15),"",SUMPRODUCT(C19:H19,I19:N19)/15)</f>
        <v/>
      </c>
      <c r="P19" s="8">
        <f>IF(COUNT(C19:H19)&lt;6,"",AVERAGE(C19:H19))</f>
        <v/>
      </c>
      <c r="Q19" s="8">
        <f>IF(P19="","",IF(P19&lt;10,"Very low",IF(P19&lt;30,"Low",IF(P19&lt;50,"Medium",IF(P19&lt;80,"High","Very high")))))</f>
        <v/>
      </c>
      <c r="R19" s="8">
        <f>IF(COUNT(C19:H19)&lt;6,"",INDEX(Subscale_Definitions!$B$2:$B$7,MATCH(MAX(C19:H19),C19:H19,0)))</f>
        <v/>
      </c>
    </row>
    <row r="20">
      <c r="A20" s="7">
        <f>TLX_Ratings!A20</f>
        <v/>
      </c>
      <c r="B20" s="7">
        <f>TLX_Ratings!B20</f>
        <v/>
      </c>
      <c r="C20" s="8">
        <f>IF(TLX_Ratings!D20="","",TLX_Ratings!D20)</f>
        <v/>
      </c>
      <c r="D20" s="8">
        <f>IF(TLX_Ratings!E20="","",TLX_Ratings!E20)</f>
        <v/>
      </c>
      <c r="E20" s="8">
        <f>IF(TLX_Ratings!F20="","",TLX_Ratings!F20)</f>
        <v/>
      </c>
      <c r="F20" s="8">
        <f>IF(TLX_Ratings!G20="","",TLX_Ratings!G20)</f>
        <v/>
      </c>
      <c r="G20" s="8">
        <f>IF(TLX_Ratings!H20="","",TLX_Ratings!H20)</f>
        <v/>
      </c>
      <c r="H20" s="8">
        <f>IF(TLX_Ratings!I20="","",TLX_Ratings!I20)</f>
        <v/>
      </c>
      <c r="I20" s="8">
        <f>IFERROR(INDEX(Pairwise_Weights!$Q:$V,MATCH($A20,Pairwise_Weights!$A:$A,0),1),"")</f>
        <v/>
      </c>
      <c r="J20" s="8">
        <f>IFERROR(INDEX(Pairwise_Weights!$Q:$V,MATCH($A20,Pairwise_Weights!$A:$A,0),2),"")</f>
        <v/>
      </c>
      <c r="K20" s="8">
        <f>IFERROR(INDEX(Pairwise_Weights!$Q:$V,MATCH($A20,Pairwise_Weights!$A:$A,0),3),"")</f>
        <v/>
      </c>
      <c r="L20" s="8">
        <f>IFERROR(INDEX(Pairwise_Weights!$Q:$V,MATCH($A20,Pairwise_Weights!$A:$A,0),4),"")</f>
        <v/>
      </c>
      <c r="M20" s="8">
        <f>IFERROR(INDEX(Pairwise_Weights!$Q:$V,MATCH($A20,Pairwise_Weights!$A:$A,0),5),"")</f>
        <v/>
      </c>
      <c r="N20" s="8">
        <f>IFERROR(INDEX(Pairwise_Weights!$Q:$V,MATCH($A20,Pairwise_Weights!$A:$A,0),6),"")</f>
        <v/>
      </c>
      <c r="O20" s="8">
        <f>IF(OR(COUNT(C20:H20)&lt;6,SUM(I20:N20)&lt;&gt;15),"",SUMPRODUCT(C20:H20,I20:N20)/15)</f>
        <v/>
      </c>
      <c r="P20" s="8">
        <f>IF(COUNT(C20:H20)&lt;6,"",AVERAGE(C20:H20))</f>
        <v/>
      </c>
      <c r="Q20" s="8">
        <f>IF(P20="","",IF(P20&lt;10,"Very low",IF(P20&lt;30,"Low",IF(P20&lt;50,"Medium",IF(P20&lt;80,"High","Very high")))))</f>
        <v/>
      </c>
      <c r="R20" s="8">
        <f>IF(COUNT(C20:H20)&lt;6,"",INDEX(Subscale_Definitions!$B$2:$B$7,MATCH(MAX(C20:H20),C20:H20,0)))</f>
        <v/>
      </c>
    </row>
    <row r="21">
      <c r="A21" s="7">
        <f>TLX_Ratings!A21</f>
        <v/>
      </c>
      <c r="B21" s="7">
        <f>TLX_Ratings!B21</f>
        <v/>
      </c>
      <c r="C21" s="8">
        <f>IF(TLX_Ratings!D21="","",TLX_Ratings!D21)</f>
        <v/>
      </c>
      <c r="D21" s="8">
        <f>IF(TLX_Ratings!E21="","",TLX_Ratings!E21)</f>
        <v/>
      </c>
      <c r="E21" s="8">
        <f>IF(TLX_Ratings!F21="","",TLX_Ratings!F21)</f>
        <v/>
      </c>
      <c r="F21" s="8">
        <f>IF(TLX_Ratings!G21="","",TLX_Ratings!G21)</f>
        <v/>
      </c>
      <c r="G21" s="8">
        <f>IF(TLX_Ratings!H21="","",TLX_Ratings!H21)</f>
        <v/>
      </c>
      <c r="H21" s="8">
        <f>IF(TLX_Ratings!I21="","",TLX_Ratings!I21)</f>
        <v/>
      </c>
      <c r="I21" s="8">
        <f>IFERROR(INDEX(Pairwise_Weights!$Q:$V,MATCH($A21,Pairwise_Weights!$A:$A,0),1),"")</f>
        <v/>
      </c>
      <c r="J21" s="8">
        <f>IFERROR(INDEX(Pairwise_Weights!$Q:$V,MATCH($A21,Pairwise_Weights!$A:$A,0),2),"")</f>
        <v/>
      </c>
      <c r="K21" s="8">
        <f>IFERROR(INDEX(Pairwise_Weights!$Q:$V,MATCH($A21,Pairwise_Weights!$A:$A,0),3),"")</f>
        <v/>
      </c>
      <c r="L21" s="8">
        <f>IFERROR(INDEX(Pairwise_Weights!$Q:$V,MATCH($A21,Pairwise_Weights!$A:$A,0),4),"")</f>
        <v/>
      </c>
      <c r="M21" s="8">
        <f>IFERROR(INDEX(Pairwise_Weights!$Q:$V,MATCH($A21,Pairwise_Weights!$A:$A,0),5),"")</f>
        <v/>
      </c>
      <c r="N21" s="8">
        <f>IFERROR(INDEX(Pairwise_Weights!$Q:$V,MATCH($A21,Pairwise_Weights!$A:$A,0),6),"")</f>
        <v/>
      </c>
      <c r="O21" s="8">
        <f>IF(OR(COUNT(C21:H21)&lt;6,SUM(I21:N21)&lt;&gt;15),"",SUMPRODUCT(C21:H21,I21:N21)/15)</f>
        <v/>
      </c>
      <c r="P21" s="8">
        <f>IF(COUNT(C21:H21)&lt;6,"",AVERAGE(C21:H21))</f>
        <v/>
      </c>
      <c r="Q21" s="8">
        <f>IF(P21="","",IF(P21&lt;10,"Very low",IF(P21&lt;30,"Low",IF(P21&lt;50,"Medium",IF(P21&lt;80,"High","Very high")))))</f>
        <v/>
      </c>
      <c r="R21" s="8">
        <f>IF(COUNT(C21:H21)&lt;6,"",INDEX(Subscale_Definitions!$B$2:$B$7,MATCH(MAX(C21:H21),C21:H21,0)))</f>
        <v/>
      </c>
    </row>
    <row r="22">
      <c r="A22" s="7">
        <f>TLX_Ratings!A22</f>
        <v/>
      </c>
      <c r="B22" s="7">
        <f>TLX_Ratings!B22</f>
        <v/>
      </c>
      <c r="C22" s="8">
        <f>IF(TLX_Ratings!D22="","",TLX_Ratings!D22)</f>
        <v/>
      </c>
      <c r="D22" s="8">
        <f>IF(TLX_Ratings!E22="","",TLX_Ratings!E22)</f>
        <v/>
      </c>
      <c r="E22" s="8">
        <f>IF(TLX_Ratings!F22="","",TLX_Ratings!F22)</f>
        <v/>
      </c>
      <c r="F22" s="8">
        <f>IF(TLX_Ratings!G22="","",TLX_Ratings!G22)</f>
        <v/>
      </c>
      <c r="G22" s="8">
        <f>IF(TLX_Ratings!H22="","",TLX_Ratings!H22)</f>
        <v/>
      </c>
      <c r="H22" s="8">
        <f>IF(TLX_Ratings!I22="","",TLX_Ratings!I22)</f>
        <v/>
      </c>
      <c r="I22" s="8">
        <f>IFERROR(INDEX(Pairwise_Weights!$Q:$V,MATCH($A22,Pairwise_Weights!$A:$A,0),1),"")</f>
        <v/>
      </c>
      <c r="J22" s="8">
        <f>IFERROR(INDEX(Pairwise_Weights!$Q:$V,MATCH($A22,Pairwise_Weights!$A:$A,0),2),"")</f>
        <v/>
      </c>
      <c r="K22" s="8">
        <f>IFERROR(INDEX(Pairwise_Weights!$Q:$V,MATCH($A22,Pairwise_Weights!$A:$A,0),3),"")</f>
        <v/>
      </c>
      <c r="L22" s="8">
        <f>IFERROR(INDEX(Pairwise_Weights!$Q:$V,MATCH($A22,Pairwise_Weights!$A:$A,0),4),"")</f>
        <v/>
      </c>
      <c r="M22" s="8">
        <f>IFERROR(INDEX(Pairwise_Weights!$Q:$V,MATCH($A22,Pairwise_Weights!$A:$A,0),5),"")</f>
        <v/>
      </c>
      <c r="N22" s="8">
        <f>IFERROR(INDEX(Pairwise_Weights!$Q:$V,MATCH($A22,Pairwise_Weights!$A:$A,0),6),"")</f>
        <v/>
      </c>
      <c r="O22" s="8">
        <f>IF(OR(COUNT(C22:H22)&lt;6,SUM(I22:N22)&lt;&gt;15),"",SUMPRODUCT(C22:H22,I22:N22)/15)</f>
        <v/>
      </c>
      <c r="P22" s="8">
        <f>IF(COUNT(C22:H22)&lt;6,"",AVERAGE(C22:H22))</f>
        <v/>
      </c>
      <c r="Q22" s="8">
        <f>IF(P22="","",IF(P22&lt;10,"Very low",IF(P22&lt;30,"Low",IF(P22&lt;50,"Medium",IF(P22&lt;80,"High","Very high")))))</f>
        <v/>
      </c>
      <c r="R22" s="8">
        <f>IF(COUNT(C22:H22)&lt;6,"",INDEX(Subscale_Definitions!$B$2:$B$7,MATCH(MAX(C22:H22),C22:H22,0)))</f>
        <v/>
      </c>
    </row>
    <row r="23">
      <c r="A23" s="7">
        <f>TLX_Ratings!A23</f>
        <v/>
      </c>
      <c r="B23" s="7">
        <f>TLX_Ratings!B23</f>
        <v/>
      </c>
      <c r="C23" s="8">
        <f>IF(TLX_Ratings!D23="","",TLX_Ratings!D23)</f>
        <v/>
      </c>
      <c r="D23" s="8">
        <f>IF(TLX_Ratings!E23="","",TLX_Ratings!E23)</f>
        <v/>
      </c>
      <c r="E23" s="8">
        <f>IF(TLX_Ratings!F23="","",TLX_Ratings!F23)</f>
        <v/>
      </c>
      <c r="F23" s="8">
        <f>IF(TLX_Ratings!G23="","",TLX_Ratings!G23)</f>
        <v/>
      </c>
      <c r="G23" s="8">
        <f>IF(TLX_Ratings!H23="","",TLX_Ratings!H23)</f>
        <v/>
      </c>
      <c r="H23" s="8">
        <f>IF(TLX_Ratings!I23="","",TLX_Ratings!I23)</f>
        <v/>
      </c>
      <c r="I23" s="8">
        <f>IFERROR(INDEX(Pairwise_Weights!$Q:$V,MATCH($A23,Pairwise_Weights!$A:$A,0),1),"")</f>
        <v/>
      </c>
      <c r="J23" s="8">
        <f>IFERROR(INDEX(Pairwise_Weights!$Q:$V,MATCH($A23,Pairwise_Weights!$A:$A,0),2),"")</f>
        <v/>
      </c>
      <c r="K23" s="8">
        <f>IFERROR(INDEX(Pairwise_Weights!$Q:$V,MATCH($A23,Pairwise_Weights!$A:$A,0),3),"")</f>
        <v/>
      </c>
      <c r="L23" s="8">
        <f>IFERROR(INDEX(Pairwise_Weights!$Q:$V,MATCH($A23,Pairwise_Weights!$A:$A,0),4),"")</f>
        <v/>
      </c>
      <c r="M23" s="8">
        <f>IFERROR(INDEX(Pairwise_Weights!$Q:$V,MATCH($A23,Pairwise_Weights!$A:$A,0),5),"")</f>
        <v/>
      </c>
      <c r="N23" s="8">
        <f>IFERROR(INDEX(Pairwise_Weights!$Q:$V,MATCH($A23,Pairwise_Weights!$A:$A,0),6),"")</f>
        <v/>
      </c>
      <c r="O23" s="8">
        <f>IF(OR(COUNT(C23:H23)&lt;6,SUM(I23:N23)&lt;&gt;15),"",SUMPRODUCT(C23:H23,I23:N23)/15)</f>
        <v/>
      </c>
      <c r="P23" s="8">
        <f>IF(COUNT(C23:H23)&lt;6,"",AVERAGE(C23:H23))</f>
        <v/>
      </c>
      <c r="Q23" s="8">
        <f>IF(P23="","",IF(P23&lt;10,"Very low",IF(P23&lt;30,"Low",IF(P23&lt;50,"Medium",IF(P23&lt;80,"High","Very high")))))</f>
        <v/>
      </c>
      <c r="R23" s="8">
        <f>IF(COUNT(C23:H23)&lt;6,"",INDEX(Subscale_Definitions!$B$2:$B$7,MATCH(MAX(C23:H23),C23:H23,0)))</f>
        <v/>
      </c>
    </row>
    <row r="24">
      <c r="A24" s="7">
        <f>TLX_Ratings!A24</f>
        <v/>
      </c>
      <c r="B24" s="7">
        <f>TLX_Ratings!B24</f>
        <v/>
      </c>
      <c r="C24" s="8">
        <f>IF(TLX_Ratings!D24="","",TLX_Ratings!D24)</f>
        <v/>
      </c>
      <c r="D24" s="8">
        <f>IF(TLX_Ratings!E24="","",TLX_Ratings!E24)</f>
        <v/>
      </c>
      <c r="E24" s="8">
        <f>IF(TLX_Ratings!F24="","",TLX_Ratings!F24)</f>
        <v/>
      </c>
      <c r="F24" s="8">
        <f>IF(TLX_Ratings!G24="","",TLX_Ratings!G24)</f>
        <v/>
      </c>
      <c r="G24" s="8">
        <f>IF(TLX_Ratings!H24="","",TLX_Ratings!H24)</f>
        <v/>
      </c>
      <c r="H24" s="8">
        <f>IF(TLX_Ratings!I24="","",TLX_Ratings!I24)</f>
        <v/>
      </c>
      <c r="I24" s="8">
        <f>IFERROR(INDEX(Pairwise_Weights!$Q:$V,MATCH($A24,Pairwise_Weights!$A:$A,0),1),"")</f>
        <v/>
      </c>
      <c r="J24" s="8">
        <f>IFERROR(INDEX(Pairwise_Weights!$Q:$V,MATCH($A24,Pairwise_Weights!$A:$A,0),2),"")</f>
        <v/>
      </c>
      <c r="K24" s="8">
        <f>IFERROR(INDEX(Pairwise_Weights!$Q:$V,MATCH($A24,Pairwise_Weights!$A:$A,0),3),"")</f>
        <v/>
      </c>
      <c r="L24" s="8">
        <f>IFERROR(INDEX(Pairwise_Weights!$Q:$V,MATCH($A24,Pairwise_Weights!$A:$A,0),4),"")</f>
        <v/>
      </c>
      <c r="M24" s="8">
        <f>IFERROR(INDEX(Pairwise_Weights!$Q:$V,MATCH($A24,Pairwise_Weights!$A:$A,0),5),"")</f>
        <v/>
      </c>
      <c r="N24" s="8">
        <f>IFERROR(INDEX(Pairwise_Weights!$Q:$V,MATCH($A24,Pairwise_Weights!$A:$A,0),6),"")</f>
        <v/>
      </c>
      <c r="O24" s="8">
        <f>IF(OR(COUNT(C24:H24)&lt;6,SUM(I24:N24)&lt;&gt;15),"",SUMPRODUCT(C24:H24,I24:N24)/15)</f>
        <v/>
      </c>
      <c r="P24" s="8">
        <f>IF(COUNT(C24:H24)&lt;6,"",AVERAGE(C24:H24))</f>
        <v/>
      </c>
      <c r="Q24" s="8">
        <f>IF(P24="","",IF(P24&lt;10,"Very low",IF(P24&lt;30,"Low",IF(P24&lt;50,"Medium",IF(P24&lt;80,"High","Very high")))))</f>
        <v/>
      </c>
      <c r="R24" s="8">
        <f>IF(COUNT(C24:H24)&lt;6,"",INDEX(Subscale_Definitions!$B$2:$B$7,MATCH(MAX(C24:H24),C24:H24,0)))</f>
        <v/>
      </c>
    </row>
    <row r="25">
      <c r="A25" s="7">
        <f>TLX_Ratings!A25</f>
        <v/>
      </c>
      <c r="B25" s="7">
        <f>TLX_Ratings!B25</f>
        <v/>
      </c>
      <c r="C25" s="8">
        <f>IF(TLX_Ratings!D25="","",TLX_Ratings!D25)</f>
        <v/>
      </c>
      <c r="D25" s="8">
        <f>IF(TLX_Ratings!E25="","",TLX_Ratings!E25)</f>
        <v/>
      </c>
      <c r="E25" s="8">
        <f>IF(TLX_Ratings!F25="","",TLX_Ratings!F25)</f>
        <v/>
      </c>
      <c r="F25" s="8">
        <f>IF(TLX_Ratings!G25="","",TLX_Ratings!G25)</f>
        <v/>
      </c>
      <c r="G25" s="8">
        <f>IF(TLX_Ratings!H25="","",TLX_Ratings!H25)</f>
        <v/>
      </c>
      <c r="H25" s="8">
        <f>IF(TLX_Ratings!I25="","",TLX_Ratings!I25)</f>
        <v/>
      </c>
      <c r="I25" s="8">
        <f>IFERROR(INDEX(Pairwise_Weights!$Q:$V,MATCH($A25,Pairwise_Weights!$A:$A,0),1),"")</f>
        <v/>
      </c>
      <c r="J25" s="8">
        <f>IFERROR(INDEX(Pairwise_Weights!$Q:$V,MATCH($A25,Pairwise_Weights!$A:$A,0),2),"")</f>
        <v/>
      </c>
      <c r="K25" s="8">
        <f>IFERROR(INDEX(Pairwise_Weights!$Q:$V,MATCH($A25,Pairwise_Weights!$A:$A,0),3),"")</f>
        <v/>
      </c>
      <c r="L25" s="8">
        <f>IFERROR(INDEX(Pairwise_Weights!$Q:$V,MATCH($A25,Pairwise_Weights!$A:$A,0),4),"")</f>
        <v/>
      </c>
      <c r="M25" s="8">
        <f>IFERROR(INDEX(Pairwise_Weights!$Q:$V,MATCH($A25,Pairwise_Weights!$A:$A,0),5),"")</f>
        <v/>
      </c>
      <c r="N25" s="8">
        <f>IFERROR(INDEX(Pairwise_Weights!$Q:$V,MATCH($A25,Pairwise_Weights!$A:$A,0),6),"")</f>
        <v/>
      </c>
      <c r="O25" s="8">
        <f>IF(OR(COUNT(C25:H25)&lt;6,SUM(I25:N25)&lt;&gt;15),"",SUMPRODUCT(C25:H25,I25:N25)/15)</f>
        <v/>
      </c>
      <c r="P25" s="8">
        <f>IF(COUNT(C25:H25)&lt;6,"",AVERAGE(C25:H25))</f>
        <v/>
      </c>
      <c r="Q25" s="8">
        <f>IF(P25="","",IF(P25&lt;10,"Very low",IF(P25&lt;30,"Low",IF(P25&lt;50,"Medium",IF(P25&lt;80,"High","Very high")))))</f>
        <v/>
      </c>
      <c r="R25" s="8">
        <f>IF(COUNT(C25:H25)&lt;6,"",INDEX(Subscale_Definitions!$B$2:$B$7,MATCH(MAX(C25:H25),C25:H25,0)))</f>
        <v/>
      </c>
    </row>
    <row r="26">
      <c r="A26" s="7">
        <f>TLX_Ratings!A26</f>
        <v/>
      </c>
      <c r="B26" s="7">
        <f>TLX_Ratings!B26</f>
        <v/>
      </c>
      <c r="C26" s="8">
        <f>IF(TLX_Ratings!D26="","",TLX_Ratings!D26)</f>
        <v/>
      </c>
      <c r="D26" s="8">
        <f>IF(TLX_Ratings!E26="","",TLX_Ratings!E26)</f>
        <v/>
      </c>
      <c r="E26" s="8">
        <f>IF(TLX_Ratings!F26="","",TLX_Ratings!F26)</f>
        <v/>
      </c>
      <c r="F26" s="8">
        <f>IF(TLX_Ratings!G26="","",TLX_Ratings!G26)</f>
        <v/>
      </c>
      <c r="G26" s="8">
        <f>IF(TLX_Ratings!H26="","",TLX_Ratings!H26)</f>
        <v/>
      </c>
      <c r="H26" s="8">
        <f>IF(TLX_Ratings!I26="","",TLX_Ratings!I26)</f>
        <v/>
      </c>
      <c r="I26" s="8">
        <f>IFERROR(INDEX(Pairwise_Weights!$Q:$V,MATCH($A26,Pairwise_Weights!$A:$A,0),1),"")</f>
        <v/>
      </c>
      <c r="J26" s="8">
        <f>IFERROR(INDEX(Pairwise_Weights!$Q:$V,MATCH($A26,Pairwise_Weights!$A:$A,0),2),"")</f>
        <v/>
      </c>
      <c r="K26" s="8">
        <f>IFERROR(INDEX(Pairwise_Weights!$Q:$V,MATCH($A26,Pairwise_Weights!$A:$A,0),3),"")</f>
        <v/>
      </c>
      <c r="L26" s="8">
        <f>IFERROR(INDEX(Pairwise_Weights!$Q:$V,MATCH($A26,Pairwise_Weights!$A:$A,0),4),"")</f>
        <v/>
      </c>
      <c r="M26" s="8">
        <f>IFERROR(INDEX(Pairwise_Weights!$Q:$V,MATCH($A26,Pairwise_Weights!$A:$A,0),5),"")</f>
        <v/>
      </c>
      <c r="N26" s="8">
        <f>IFERROR(INDEX(Pairwise_Weights!$Q:$V,MATCH($A26,Pairwise_Weights!$A:$A,0),6),"")</f>
        <v/>
      </c>
      <c r="O26" s="8">
        <f>IF(OR(COUNT(C26:H26)&lt;6,SUM(I26:N26)&lt;&gt;15),"",SUMPRODUCT(C26:H26,I26:N26)/15)</f>
        <v/>
      </c>
      <c r="P26" s="8">
        <f>IF(COUNT(C26:H26)&lt;6,"",AVERAGE(C26:H26))</f>
        <v/>
      </c>
      <c r="Q26" s="8">
        <f>IF(P26="","",IF(P26&lt;10,"Very low",IF(P26&lt;30,"Low",IF(P26&lt;50,"Medium",IF(P26&lt;80,"High","Very high")))))</f>
        <v/>
      </c>
      <c r="R26" s="8">
        <f>IF(COUNT(C26:H26)&lt;6,"",INDEX(Subscale_Definitions!$B$2:$B$7,MATCH(MAX(C26:H26),C26:H26,0)))</f>
        <v/>
      </c>
    </row>
    <row r="27">
      <c r="A27" s="7">
        <f>TLX_Ratings!A27</f>
        <v/>
      </c>
      <c r="B27" s="7">
        <f>TLX_Ratings!B27</f>
        <v/>
      </c>
      <c r="C27" s="8">
        <f>IF(TLX_Ratings!D27="","",TLX_Ratings!D27)</f>
        <v/>
      </c>
      <c r="D27" s="8">
        <f>IF(TLX_Ratings!E27="","",TLX_Ratings!E27)</f>
        <v/>
      </c>
      <c r="E27" s="8">
        <f>IF(TLX_Ratings!F27="","",TLX_Ratings!F27)</f>
        <v/>
      </c>
      <c r="F27" s="8">
        <f>IF(TLX_Ratings!G27="","",TLX_Ratings!G27)</f>
        <v/>
      </c>
      <c r="G27" s="8">
        <f>IF(TLX_Ratings!H27="","",TLX_Ratings!H27)</f>
        <v/>
      </c>
      <c r="H27" s="8">
        <f>IF(TLX_Ratings!I27="","",TLX_Ratings!I27)</f>
        <v/>
      </c>
      <c r="I27" s="8">
        <f>IFERROR(INDEX(Pairwise_Weights!$Q:$V,MATCH($A27,Pairwise_Weights!$A:$A,0),1),"")</f>
        <v/>
      </c>
      <c r="J27" s="8">
        <f>IFERROR(INDEX(Pairwise_Weights!$Q:$V,MATCH($A27,Pairwise_Weights!$A:$A,0),2),"")</f>
        <v/>
      </c>
      <c r="K27" s="8">
        <f>IFERROR(INDEX(Pairwise_Weights!$Q:$V,MATCH($A27,Pairwise_Weights!$A:$A,0),3),"")</f>
        <v/>
      </c>
      <c r="L27" s="8">
        <f>IFERROR(INDEX(Pairwise_Weights!$Q:$V,MATCH($A27,Pairwise_Weights!$A:$A,0),4),"")</f>
        <v/>
      </c>
      <c r="M27" s="8">
        <f>IFERROR(INDEX(Pairwise_Weights!$Q:$V,MATCH($A27,Pairwise_Weights!$A:$A,0),5),"")</f>
        <v/>
      </c>
      <c r="N27" s="8">
        <f>IFERROR(INDEX(Pairwise_Weights!$Q:$V,MATCH($A27,Pairwise_Weights!$A:$A,0),6),"")</f>
        <v/>
      </c>
      <c r="O27" s="8">
        <f>IF(OR(COUNT(C27:H27)&lt;6,SUM(I27:N27)&lt;&gt;15),"",SUMPRODUCT(C27:H27,I27:N27)/15)</f>
        <v/>
      </c>
      <c r="P27" s="8">
        <f>IF(COUNT(C27:H27)&lt;6,"",AVERAGE(C27:H27))</f>
        <v/>
      </c>
      <c r="Q27" s="8">
        <f>IF(P27="","",IF(P27&lt;10,"Very low",IF(P27&lt;30,"Low",IF(P27&lt;50,"Medium",IF(P27&lt;80,"High","Very high")))))</f>
        <v/>
      </c>
      <c r="R27" s="8">
        <f>IF(COUNT(C27:H27)&lt;6,"",INDEX(Subscale_Definitions!$B$2:$B$7,MATCH(MAX(C27:H27),C27:H27,0)))</f>
        <v/>
      </c>
    </row>
    <row r="28">
      <c r="A28" s="7">
        <f>TLX_Ratings!A28</f>
        <v/>
      </c>
      <c r="B28" s="7">
        <f>TLX_Ratings!B28</f>
        <v/>
      </c>
      <c r="C28" s="8">
        <f>IF(TLX_Ratings!D28="","",TLX_Ratings!D28)</f>
        <v/>
      </c>
      <c r="D28" s="8">
        <f>IF(TLX_Ratings!E28="","",TLX_Ratings!E28)</f>
        <v/>
      </c>
      <c r="E28" s="8">
        <f>IF(TLX_Ratings!F28="","",TLX_Ratings!F28)</f>
        <v/>
      </c>
      <c r="F28" s="8">
        <f>IF(TLX_Ratings!G28="","",TLX_Ratings!G28)</f>
        <v/>
      </c>
      <c r="G28" s="8">
        <f>IF(TLX_Ratings!H28="","",TLX_Ratings!H28)</f>
        <v/>
      </c>
      <c r="H28" s="8">
        <f>IF(TLX_Ratings!I28="","",TLX_Ratings!I28)</f>
        <v/>
      </c>
      <c r="I28" s="8">
        <f>IFERROR(INDEX(Pairwise_Weights!$Q:$V,MATCH($A28,Pairwise_Weights!$A:$A,0),1),"")</f>
        <v/>
      </c>
      <c r="J28" s="8">
        <f>IFERROR(INDEX(Pairwise_Weights!$Q:$V,MATCH($A28,Pairwise_Weights!$A:$A,0),2),"")</f>
        <v/>
      </c>
      <c r="K28" s="8">
        <f>IFERROR(INDEX(Pairwise_Weights!$Q:$V,MATCH($A28,Pairwise_Weights!$A:$A,0),3),"")</f>
        <v/>
      </c>
      <c r="L28" s="8">
        <f>IFERROR(INDEX(Pairwise_Weights!$Q:$V,MATCH($A28,Pairwise_Weights!$A:$A,0),4),"")</f>
        <v/>
      </c>
      <c r="M28" s="8">
        <f>IFERROR(INDEX(Pairwise_Weights!$Q:$V,MATCH($A28,Pairwise_Weights!$A:$A,0),5),"")</f>
        <v/>
      </c>
      <c r="N28" s="8">
        <f>IFERROR(INDEX(Pairwise_Weights!$Q:$V,MATCH($A28,Pairwise_Weights!$A:$A,0),6),"")</f>
        <v/>
      </c>
      <c r="O28" s="8">
        <f>IF(OR(COUNT(C28:H28)&lt;6,SUM(I28:N28)&lt;&gt;15),"",SUMPRODUCT(C28:H28,I28:N28)/15)</f>
        <v/>
      </c>
      <c r="P28" s="8">
        <f>IF(COUNT(C28:H28)&lt;6,"",AVERAGE(C28:H28))</f>
        <v/>
      </c>
      <c r="Q28" s="8">
        <f>IF(P28="","",IF(P28&lt;10,"Very low",IF(P28&lt;30,"Low",IF(P28&lt;50,"Medium",IF(P28&lt;80,"High","Very high")))))</f>
        <v/>
      </c>
      <c r="R28" s="8">
        <f>IF(COUNT(C28:H28)&lt;6,"",INDEX(Subscale_Definitions!$B$2:$B$7,MATCH(MAX(C28:H28),C28:H28,0)))</f>
        <v/>
      </c>
    </row>
    <row r="29">
      <c r="A29" s="7">
        <f>TLX_Ratings!A29</f>
        <v/>
      </c>
      <c r="B29" s="7">
        <f>TLX_Ratings!B29</f>
        <v/>
      </c>
      <c r="C29" s="8">
        <f>IF(TLX_Ratings!D29="","",TLX_Ratings!D29)</f>
        <v/>
      </c>
      <c r="D29" s="8">
        <f>IF(TLX_Ratings!E29="","",TLX_Ratings!E29)</f>
        <v/>
      </c>
      <c r="E29" s="8">
        <f>IF(TLX_Ratings!F29="","",TLX_Ratings!F29)</f>
        <v/>
      </c>
      <c r="F29" s="8">
        <f>IF(TLX_Ratings!G29="","",TLX_Ratings!G29)</f>
        <v/>
      </c>
      <c r="G29" s="8">
        <f>IF(TLX_Ratings!H29="","",TLX_Ratings!H29)</f>
        <v/>
      </c>
      <c r="H29" s="8">
        <f>IF(TLX_Ratings!I29="","",TLX_Ratings!I29)</f>
        <v/>
      </c>
      <c r="I29" s="8">
        <f>IFERROR(INDEX(Pairwise_Weights!$Q:$V,MATCH($A29,Pairwise_Weights!$A:$A,0),1),"")</f>
        <v/>
      </c>
      <c r="J29" s="8">
        <f>IFERROR(INDEX(Pairwise_Weights!$Q:$V,MATCH($A29,Pairwise_Weights!$A:$A,0),2),"")</f>
        <v/>
      </c>
      <c r="K29" s="8">
        <f>IFERROR(INDEX(Pairwise_Weights!$Q:$V,MATCH($A29,Pairwise_Weights!$A:$A,0),3),"")</f>
        <v/>
      </c>
      <c r="L29" s="8">
        <f>IFERROR(INDEX(Pairwise_Weights!$Q:$V,MATCH($A29,Pairwise_Weights!$A:$A,0),4),"")</f>
        <v/>
      </c>
      <c r="M29" s="8">
        <f>IFERROR(INDEX(Pairwise_Weights!$Q:$V,MATCH($A29,Pairwise_Weights!$A:$A,0),5),"")</f>
        <v/>
      </c>
      <c r="N29" s="8">
        <f>IFERROR(INDEX(Pairwise_Weights!$Q:$V,MATCH($A29,Pairwise_Weights!$A:$A,0),6),"")</f>
        <v/>
      </c>
      <c r="O29" s="8">
        <f>IF(OR(COUNT(C29:H29)&lt;6,SUM(I29:N29)&lt;&gt;15),"",SUMPRODUCT(C29:H29,I29:N29)/15)</f>
        <v/>
      </c>
      <c r="P29" s="8">
        <f>IF(COUNT(C29:H29)&lt;6,"",AVERAGE(C29:H29))</f>
        <v/>
      </c>
      <c r="Q29" s="8">
        <f>IF(P29="","",IF(P29&lt;10,"Very low",IF(P29&lt;30,"Low",IF(P29&lt;50,"Medium",IF(P29&lt;80,"High","Very high")))))</f>
        <v/>
      </c>
      <c r="R29" s="8">
        <f>IF(COUNT(C29:H29)&lt;6,"",INDEX(Subscale_Definitions!$B$2:$B$7,MATCH(MAX(C29:H29),C29:H29,0)))</f>
        <v/>
      </c>
    </row>
    <row r="30">
      <c r="A30" s="7">
        <f>TLX_Ratings!A30</f>
        <v/>
      </c>
      <c r="B30" s="7">
        <f>TLX_Ratings!B30</f>
        <v/>
      </c>
      <c r="C30" s="8">
        <f>IF(TLX_Ratings!D30="","",TLX_Ratings!D30)</f>
        <v/>
      </c>
      <c r="D30" s="8">
        <f>IF(TLX_Ratings!E30="","",TLX_Ratings!E30)</f>
        <v/>
      </c>
      <c r="E30" s="8">
        <f>IF(TLX_Ratings!F30="","",TLX_Ratings!F30)</f>
        <v/>
      </c>
      <c r="F30" s="8">
        <f>IF(TLX_Ratings!G30="","",TLX_Ratings!G30)</f>
        <v/>
      </c>
      <c r="G30" s="8">
        <f>IF(TLX_Ratings!H30="","",TLX_Ratings!H30)</f>
        <v/>
      </c>
      <c r="H30" s="8">
        <f>IF(TLX_Ratings!I30="","",TLX_Ratings!I30)</f>
        <v/>
      </c>
      <c r="I30" s="8">
        <f>IFERROR(INDEX(Pairwise_Weights!$Q:$V,MATCH($A30,Pairwise_Weights!$A:$A,0),1),"")</f>
        <v/>
      </c>
      <c r="J30" s="8">
        <f>IFERROR(INDEX(Pairwise_Weights!$Q:$V,MATCH($A30,Pairwise_Weights!$A:$A,0),2),"")</f>
        <v/>
      </c>
      <c r="K30" s="8">
        <f>IFERROR(INDEX(Pairwise_Weights!$Q:$V,MATCH($A30,Pairwise_Weights!$A:$A,0),3),"")</f>
        <v/>
      </c>
      <c r="L30" s="8">
        <f>IFERROR(INDEX(Pairwise_Weights!$Q:$V,MATCH($A30,Pairwise_Weights!$A:$A,0),4),"")</f>
        <v/>
      </c>
      <c r="M30" s="8">
        <f>IFERROR(INDEX(Pairwise_Weights!$Q:$V,MATCH($A30,Pairwise_Weights!$A:$A,0),5),"")</f>
        <v/>
      </c>
      <c r="N30" s="8">
        <f>IFERROR(INDEX(Pairwise_Weights!$Q:$V,MATCH($A30,Pairwise_Weights!$A:$A,0),6),"")</f>
        <v/>
      </c>
      <c r="O30" s="8">
        <f>IF(OR(COUNT(C30:H30)&lt;6,SUM(I30:N30)&lt;&gt;15),"",SUMPRODUCT(C30:H30,I30:N30)/15)</f>
        <v/>
      </c>
      <c r="P30" s="8">
        <f>IF(COUNT(C30:H30)&lt;6,"",AVERAGE(C30:H30))</f>
        <v/>
      </c>
      <c r="Q30" s="8">
        <f>IF(P30="","",IF(P30&lt;10,"Very low",IF(P30&lt;30,"Low",IF(P30&lt;50,"Medium",IF(P30&lt;80,"High","Very high")))))</f>
        <v/>
      </c>
      <c r="R30" s="8">
        <f>IF(COUNT(C30:H30)&lt;6,"",INDEX(Subscale_Definitions!$B$2:$B$7,MATCH(MAX(C30:H30),C30:H30,0)))</f>
        <v/>
      </c>
    </row>
    <row r="31">
      <c r="A31" s="7">
        <f>TLX_Ratings!A31</f>
        <v/>
      </c>
      <c r="B31" s="7">
        <f>TLX_Ratings!B31</f>
        <v/>
      </c>
      <c r="C31" s="8">
        <f>IF(TLX_Ratings!D31="","",TLX_Ratings!D31)</f>
        <v/>
      </c>
      <c r="D31" s="8">
        <f>IF(TLX_Ratings!E31="","",TLX_Ratings!E31)</f>
        <v/>
      </c>
      <c r="E31" s="8">
        <f>IF(TLX_Ratings!F31="","",TLX_Ratings!F31)</f>
        <v/>
      </c>
      <c r="F31" s="8">
        <f>IF(TLX_Ratings!G31="","",TLX_Ratings!G31)</f>
        <v/>
      </c>
      <c r="G31" s="8">
        <f>IF(TLX_Ratings!H31="","",TLX_Ratings!H31)</f>
        <v/>
      </c>
      <c r="H31" s="8">
        <f>IF(TLX_Ratings!I31="","",TLX_Ratings!I31)</f>
        <v/>
      </c>
      <c r="I31" s="8">
        <f>IFERROR(INDEX(Pairwise_Weights!$Q:$V,MATCH($A31,Pairwise_Weights!$A:$A,0),1),"")</f>
        <v/>
      </c>
      <c r="J31" s="8">
        <f>IFERROR(INDEX(Pairwise_Weights!$Q:$V,MATCH($A31,Pairwise_Weights!$A:$A,0),2),"")</f>
        <v/>
      </c>
      <c r="K31" s="8">
        <f>IFERROR(INDEX(Pairwise_Weights!$Q:$V,MATCH($A31,Pairwise_Weights!$A:$A,0),3),"")</f>
        <v/>
      </c>
      <c r="L31" s="8">
        <f>IFERROR(INDEX(Pairwise_Weights!$Q:$V,MATCH($A31,Pairwise_Weights!$A:$A,0),4),"")</f>
        <v/>
      </c>
      <c r="M31" s="8">
        <f>IFERROR(INDEX(Pairwise_Weights!$Q:$V,MATCH($A31,Pairwise_Weights!$A:$A,0),5),"")</f>
        <v/>
      </c>
      <c r="N31" s="8">
        <f>IFERROR(INDEX(Pairwise_Weights!$Q:$V,MATCH($A31,Pairwise_Weights!$A:$A,0),6),"")</f>
        <v/>
      </c>
      <c r="O31" s="8">
        <f>IF(OR(COUNT(C31:H31)&lt;6,SUM(I31:N31)&lt;&gt;15),"",SUMPRODUCT(C31:H31,I31:N31)/15)</f>
        <v/>
      </c>
      <c r="P31" s="8">
        <f>IF(COUNT(C31:H31)&lt;6,"",AVERAGE(C31:H31))</f>
        <v/>
      </c>
      <c r="Q31" s="8">
        <f>IF(P31="","",IF(P31&lt;10,"Very low",IF(P31&lt;30,"Low",IF(P31&lt;50,"Medium",IF(P31&lt;80,"High","Very high")))))</f>
        <v/>
      </c>
      <c r="R31" s="8">
        <f>IF(COUNT(C31:H31)&lt;6,"",INDEX(Subscale_Definitions!$B$2:$B$7,MATCH(MAX(C31:H31),C31:H31,0)))</f>
        <v/>
      </c>
    </row>
    <row r="33">
      <c r="A33" s="10" t="inlineStr">
        <is>
          <t>Summary</t>
        </is>
      </c>
      <c r="D33" s="9" t="inlineStr">
        <is>
          <t>Weighted TLX stays blank until all six ratings exist AND the six weights sum to 15.</t>
        </is>
      </c>
    </row>
    <row r="34">
      <c r="A34" s="11" t="inlineStr">
        <is>
          <t>n</t>
        </is>
      </c>
      <c r="B34" s="12">
        <f>COUNT(O2:O31)</f>
        <v/>
      </c>
    </row>
    <row r="35">
      <c r="A35" s="11" t="inlineStr">
        <is>
          <t>Mean weighted TLX</t>
        </is>
      </c>
      <c r="B35" s="12">
        <f>IFERROR(AVERAGE(O2:O31),"")</f>
        <v/>
      </c>
    </row>
    <row r="36">
      <c r="A36" s="11" t="inlineStr">
        <is>
          <t>SD weighted</t>
        </is>
      </c>
      <c r="B36" s="12">
        <f>IFERROR(STDEV(O2:O31),"")</f>
        <v/>
      </c>
    </row>
    <row r="37">
      <c r="A37" s="11" t="inlineStr">
        <is>
          <t>Mean RTLX</t>
        </is>
      </c>
      <c r="B37" s="12">
        <f>IFERROR(AVERAGE(P2:P31),"")</f>
        <v/>
      </c>
    </row>
    <row r="38">
      <c r="A38" s="11" t="inlineStr">
        <is>
          <t>SD RTLX</t>
        </is>
      </c>
      <c r="B38" s="12">
        <f>IFERROR(STDEV(P2:P31),"")</f>
        <v/>
      </c>
    </row>
    <row r="39">
      <c r="A39" s="11" t="inlineStr">
        <is>
          <t>Mean Mental Demand</t>
        </is>
      </c>
      <c r="B39" s="12">
        <f>IFERROR(AVERAGE(C2:C31),"")</f>
        <v/>
      </c>
    </row>
    <row r="40">
      <c r="A40" s="11" t="inlineStr">
        <is>
          <t>Mean Physical Demand</t>
        </is>
      </c>
      <c r="B40" s="12">
        <f>IFERROR(AVERAGE(D2:D31),"")</f>
        <v/>
      </c>
    </row>
    <row r="41">
      <c r="A41" s="11" t="inlineStr">
        <is>
          <t>Mean Temporal Demand</t>
        </is>
      </c>
      <c r="B41" s="12">
        <f>IFERROR(AVERAGE(E2:E31),"")</f>
        <v/>
      </c>
    </row>
    <row r="42">
      <c r="A42" s="11" t="inlineStr">
        <is>
          <t>Mean Performance</t>
        </is>
      </c>
      <c r="B42" s="12">
        <f>IFERROR(AVERAGE(F2:F31),"")</f>
        <v/>
      </c>
    </row>
    <row r="43">
      <c r="A43" s="11" t="inlineStr">
        <is>
          <t>Mean Effort</t>
        </is>
      </c>
      <c r="B43" s="12">
        <f>IFERROR(AVERAGE(G2:G31),"")</f>
        <v/>
      </c>
    </row>
    <row r="44">
      <c r="A44" s="11" t="inlineStr">
        <is>
          <t>Mean Frustration</t>
        </is>
      </c>
      <c r="B44" s="12">
        <f>IFERROR(AVERAGE(H2:H31),"")</f>
        <v/>
      </c>
    </row>
  </sheetData>
  <conditionalFormatting sqref="O2:P31">
    <cfRule type="colorScale" priority="1">
      <colorScale>
        <cfvo type="num" val="0"/>
        <cfvo type="num" val="50"/>
        <cfvo type="num" val="10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12" customWidth="1" min="24" max="24"/>
  </cols>
  <sheetData>
    <row r="1">
      <c r="A1" s="13" t="inlineStr">
        <is>
          <t>NASA-TLX — participant rating sheet</t>
        </is>
      </c>
    </row>
    <row r="2">
      <c r="A2" t="inlineStr">
        <is>
          <t>Participant ID: ____________     Condition: ____________     Date: ____________</t>
        </is>
      </c>
    </row>
    <row r="4">
      <c r="A4" s="11" t="inlineStr">
        <is>
          <t>Part 1 — Mark one tick on each line (0 on the left, 100 on the right; each box is 5 points).</t>
        </is>
      </c>
    </row>
    <row r="6" ht="20" customHeight="1">
      <c r="A6" s="11" t="inlineStr">
        <is>
          <t>Mental Demand</t>
        </is>
      </c>
      <c r="B6" s="14" t="inlineStr">
        <is>
          <t>Very Low</t>
        </is>
      </c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t="inlineStr">
        <is>
          <t>Very High</t>
        </is>
      </c>
    </row>
    <row r="7" ht="30" customHeight="1">
      <c r="A7" s="2" t="inlineStr">
        <is>
          <t>How much mental and perceptual activity was required (thinking, deciding, searching, remembering)? Was the task easy or demanding, simple or complex?</t>
        </is>
      </c>
    </row>
    <row r="9" ht="20" customHeight="1">
      <c r="A9" s="11" t="inlineStr">
        <is>
          <t>Physical Demand</t>
        </is>
      </c>
      <c r="B9" s="14" t="inlineStr">
        <is>
          <t>Very Low</t>
        </is>
      </c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t="inlineStr">
        <is>
          <t>Very High</t>
        </is>
      </c>
    </row>
    <row r="10" ht="30" customHeight="1">
      <c r="A10" s="2" t="inlineStr">
        <is>
          <t>How much physical activity was required (holding the phone, head and neck posture, holding a fixation)? Was the task restful or laborious?</t>
        </is>
      </c>
    </row>
    <row r="12" ht="20" customHeight="1">
      <c r="A12" s="11" t="inlineStr">
        <is>
          <t>Temporal Demand</t>
        </is>
      </c>
      <c r="B12" s="14" t="inlineStr">
        <is>
          <t>Very Low</t>
        </is>
      </c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t="inlineStr">
        <is>
          <t>Very High</t>
        </is>
      </c>
    </row>
    <row r="13" ht="30" customHeight="1">
      <c r="A13" s="2" t="inlineStr">
        <is>
          <t>How much time pressure did you feel due to the rate at which the task or task elements occurred? Was the pace slow and leisurely or rapid and frantic?</t>
        </is>
      </c>
    </row>
    <row r="15" ht="20" customHeight="1">
      <c r="A15" s="11" t="inlineStr">
        <is>
          <t>Performance</t>
        </is>
      </c>
      <c r="B15" s="14" t="inlineStr">
        <is>
          <t>Perfect</t>
        </is>
      </c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t="inlineStr">
        <is>
          <t>Failure</t>
        </is>
      </c>
    </row>
    <row r="16" ht="30" customHeight="1">
      <c r="A16" s="2" t="inlineStr">
        <is>
          <t>How successful do you think you were in accomplishing the goals of the task? How satisfied were you with your performance?</t>
        </is>
      </c>
    </row>
    <row r="18" ht="20" customHeight="1">
      <c r="A18" s="11" t="inlineStr">
        <is>
          <t>Effort</t>
        </is>
      </c>
      <c r="B18" s="14" t="inlineStr">
        <is>
          <t>Very Low</t>
        </is>
      </c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t="inlineStr">
        <is>
          <t>Very High</t>
        </is>
      </c>
    </row>
    <row r="19" ht="30" customHeight="1">
      <c r="A19" s="2" t="inlineStr">
        <is>
          <t>How hard did you have to work (mentally and physically) to accomplish your level of performance?</t>
        </is>
      </c>
    </row>
    <row r="21" ht="20" customHeight="1">
      <c r="A21" s="11" t="inlineStr">
        <is>
          <t>Frustration</t>
        </is>
      </c>
      <c r="B21" s="14" t="inlineStr">
        <is>
          <t>Very Low</t>
        </is>
      </c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t="inlineStr">
        <is>
          <t>Very High</t>
        </is>
      </c>
    </row>
    <row r="22" ht="30" customHeight="1">
      <c r="A22" s="2" t="inlineStr">
        <is>
          <t>How insecure, discouraged, irritated, stressed and annoyed versus secure, gratified, content, relaxed and complacent did you feel during the task?</t>
        </is>
      </c>
    </row>
    <row r="24">
      <c r="A24" s="11" t="inlineStr">
        <is>
          <t>Part 2 — For each pair, circle the ONE that contributed more to the workload.</t>
        </is>
      </c>
    </row>
    <row r="26" ht="20" customHeight="1">
      <c r="A26" s="16" t="inlineStr">
        <is>
          <t>1.  Mental Demand   /   Physical Demand</t>
        </is>
      </c>
      <c r="I26" s="16" t="inlineStr">
        <is>
          <t>2.  Mental Demand   /   Temporal Demand</t>
        </is>
      </c>
      <c r="Q26" s="16" t="inlineStr">
        <is>
          <t>3.  Mental Demand   /   Performance</t>
        </is>
      </c>
    </row>
    <row r="27" ht="20" customHeight="1">
      <c r="A27" s="16" t="inlineStr">
        <is>
          <t>4.  Mental Demand   /   Effort</t>
        </is>
      </c>
      <c r="I27" s="16" t="inlineStr">
        <is>
          <t>5.  Mental Demand   /   Frustration</t>
        </is>
      </c>
      <c r="Q27" s="16" t="inlineStr">
        <is>
          <t>6.  Physical Demand   /   Temporal Demand</t>
        </is>
      </c>
    </row>
    <row r="28" ht="20" customHeight="1">
      <c r="A28" s="16" t="inlineStr">
        <is>
          <t>7.  Physical Demand   /   Performance</t>
        </is>
      </c>
      <c r="I28" s="16" t="inlineStr">
        <is>
          <t>8.  Physical Demand   /   Effort</t>
        </is>
      </c>
      <c r="Q28" s="16" t="inlineStr">
        <is>
          <t>9.  Physical Demand   /   Frustration</t>
        </is>
      </c>
    </row>
    <row r="29" ht="20" customHeight="1">
      <c r="A29" s="16" t="inlineStr">
        <is>
          <t>10.  Temporal Demand   /   Performance</t>
        </is>
      </c>
      <c r="I29" s="16" t="inlineStr">
        <is>
          <t>11.  Temporal Demand   /   Effort</t>
        </is>
      </c>
      <c r="Q29" s="16" t="inlineStr">
        <is>
          <t>12.  Temporal Demand   /   Frustration</t>
        </is>
      </c>
    </row>
    <row r="30" ht="20" customHeight="1">
      <c r="A30" s="16" t="inlineStr">
        <is>
          <t>13.  Performance   /   Effort</t>
        </is>
      </c>
      <c r="I30" s="16" t="inlineStr">
        <is>
          <t>14.  Performance   /   Frustration</t>
        </is>
      </c>
      <c r="Q30" s="16" t="inlineStr">
        <is>
          <t>15.  Effort   /   Frustration</t>
        </is>
      </c>
    </row>
  </sheetData>
  <mergeCells count="6">
    <mergeCell ref="A7:X7"/>
    <mergeCell ref="A16:X16"/>
    <mergeCell ref="A10:X10"/>
    <mergeCell ref="A19:X19"/>
    <mergeCell ref="A13:X13"/>
    <mergeCell ref="A22:X22"/>
  </mergeCells>
  <printOptions horizontalCentered="1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2026-09-08T17:44:19Z</dcterms:created>
  <dcterms:modified xmlns:dcterms="http://purl.org/dc/terms/" xmlns:xsi="http://www.w3.org/2001/XMLSchema-instance" xsi:type="dcterms:W3CDTF">2026-09-08T17:44:19Z</dcterms:modified>
</cp:coreProperties>
</file>